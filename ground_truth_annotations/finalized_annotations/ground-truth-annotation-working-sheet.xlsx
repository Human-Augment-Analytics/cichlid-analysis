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1"/>
  <workbookPr defaultThemeVersion="166925"/>
  <xr:revisionPtr revIDLastSave="0" documentId="8_{F0F5F613-69D0-4D0E-B5AC-A2C6E5A57408}" xr6:coauthVersionLast="47" xr6:coauthVersionMax="47" xr10:uidLastSave="{00000000-0000-0000-0000-000000000000}"/>
  <bookViews>
    <workbookView xWindow="240" yWindow="105" windowWidth="14805" windowHeight="8010" firstSheet="3" activeTab="3" xr2:uid="{00000000-000D-0000-FFFF-FFFF00000000}"/>
  </bookViews>
  <sheets>
    <sheet name="vid0028_sample" sheetId="1" r:id="rId1"/>
    <sheet name="vid0028_0-4 hrs" sheetId="4" r:id="rId2"/>
    <sheet name="vid0028_5-10 hrs" sheetId="2" r:id="rId3"/>
    <sheet name="vid0031-annotation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93" i="4" l="1"/>
  <c r="E93" i="4"/>
  <c r="F92" i="4"/>
  <c r="E92" i="4"/>
  <c r="F91" i="4"/>
  <c r="E91" i="4"/>
  <c r="F87" i="3"/>
  <c r="E87" i="3"/>
  <c r="E3" i="4"/>
  <c r="F3" i="4"/>
  <c r="E4" i="4"/>
  <c r="F4" i="4"/>
  <c r="E5" i="4"/>
  <c r="F5" i="4"/>
  <c r="E6" i="4"/>
  <c r="F6" i="4"/>
  <c r="E7" i="4"/>
  <c r="F7" i="4"/>
  <c r="E8" i="4"/>
  <c r="F8" i="4"/>
  <c r="E9" i="4"/>
  <c r="F9" i="4"/>
  <c r="E10" i="4"/>
  <c r="F10" i="4"/>
  <c r="E11" i="4"/>
  <c r="F11" i="4"/>
  <c r="E12" i="4"/>
  <c r="F12" i="4"/>
  <c r="E13" i="4"/>
  <c r="F13" i="4"/>
  <c r="E14" i="4"/>
  <c r="F14" i="4"/>
  <c r="E15" i="4"/>
  <c r="F15" i="4"/>
  <c r="E16" i="4"/>
  <c r="F16" i="4"/>
  <c r="E17" i="4"/>
  <c r="F17" i="4"/>
  <c r="E18" i="4"/>
  <c r="F18" i="4"/>
  <c r="E19" i="4"/>
  <c r="F19" i="4"/>
  <c r="E20" i="4"/>
  <c r="F20" i="4"/>
  <c r="E21" i="4"/>
  <c r="F21" i="4"/>
  <c r="E22" i="4"/>
  <c r="F22" i="4"/>
  <c r="E23" i="4"/>
  <c r="F23" i="4"/>
  <c r="E24" i="4"/>
  <c r="F24" i="4"/>
  <c r="E25" i="4"/>
  <c r="F25" i="4"/>
  <c r="E26" i="4"/>
  <c r="F26" i="4"/>
  <c r="E27" i="4"/>
  <c r="F27" i="4"/>
  <c r="E28" i="4"/>
  <c r="F28" i="4"/>
  <c r="E29" i="4"/>
  <c r="F29" i="4"/>
  <c r="E30" i="4"/>
  <c r="F30" i="4"/>
  <c r="E31" i="4"/>
  <c r="F31" i="4"/>
  <c r="E32" i="4"/>
  <c r="F32" i="4"/>
  <c r="E33" i="4"/>
  <c r="F33" i="4"/>
  <c r="E34" i="4"/>
  <c r="F34" i="4"/>
  <c r="E35" i="4"/>
  <c r="F35" i="4"/>
  <c r="E36" i="4"/>
  <c r="F36" i="4"/>
  <c r="E37" i="4"/>
  <c r="F37" i="4"/>
  <c r="E38" i="4"/>
  <c r="F38" i="4"/>
  <c r="E39" i="4"/>
  <c r="F39" i="4"/>
  <c r="E40" i="4"/>
  <c r="F40" i="4"/>
  <c r="E41" i="4"/>
  <c r="F41" i="4"/>
  <c r="E42" i="4"/>
  <c r="F42" i="4"/>
  <c r="E43" i="4"/>
  <c r="F43" i="4"/>
  <c r="E44" i="4"/>
  <c r="F44" i="4"/>
  <c r="E45" i="4"/>
  <c r="F45" i="4"/>
  <c r="E46" i="4"/>
  <c r="F46" i="4"/>
  <c r="E47" i="4"/>
  <c r="F47" i="4"/>
  <c r="E48" i="4"/>
  <c r="F48" i="4"/>
  <c r="E49" i="4"/>
  <c r="F49" i="4"/>
  <c r="E50" i="4"/>
  <c r="F50" i="4"/>
  <c r="E51" i="4"/>
  <c r="F51" i="4"/>
  <c r="E52" i="4"/>
  <c r="F52" i="4"/>
  <c r="E53" i="4"/>
  <c r="F53" i="4"/>
  <c r="E54" i="4"/>
  <c r="F54" i="4"/>
  <c r="E55" i="4"/>
  <c r="F55" i="4"/>
  <c r="E56" i="4"/>
  <c r="F56" i="4"/>
  <c r="E57" i="4"/>
  <c r="F57" i="4"/>
  <c r="E58" i="4"/>
  <c r="F58" i="4"/>
  <c r="E59" i="4"/>
  <c r="F59" i="4"/>
  <c r="E60" i="4"/>
  <c r="F60" i="4"/>
  <c r="E61" i="4"/>
  <c r="F61" i="4"/>
  <c r="E62" i="4"/>
  <c r="F62" i="4"/>
  <c r="E63" i="4"/>
  <c r="F63" i="4"/>
  <c r="E64" i="4"/>
  <c r="F64" i="4"/>
  <c r="E65" i="4"/>
  <c r="F65" i="4"/>
  <c r="E66" i="4"/>
  <c r="F66" i="4"/>
  <c r="E67" i="4"/>
  <c r="F67" i="4"/>
  <c r="E68" i="4"/>
  <c r="F68" i="4"/>
  <c r="E69" i="4"/>
  <c r="F69" i="4"/>
  <c r="E70" i="4"/>
  <c r="F70" i="4"/>
  <c r="E71" i="4"/>
  <c r="F71" i="4"/>
  <c r="E72" i="4"/>
  <c r="F72" i="4"/>
  <c r="E73" i="4"/>
  <c r="F73" i="4"/>
  <c r="E74" i="4"/>
  <c r="F74" i="4"/>
  <c r="E75" i="4"/>
  <c r="F75" i="4"/>
  <c r="E76" i="4"/>
  <c r="F76" i="4"/>
  <c r="E77" i="4"/>
  <c r="F77" i="4"/>
  <c r="E78" i="4"/>
  <c r="F78" i="4"/>
  <c r="E79" i="4"/>
  <c r="F79" i="4"/>
  <c r="E80" i="4"/>
  <c r="F80" i="4"/>
  <c r="E81" i="4"/>
  <c r="F81" i="4"/>
  <c r="E82" i="4"/>
  <c r="F82" i="4"/>
  <c r="E83" i="4"/>
  <c r="F83" i="4"/>
  <c r="E84" i="4"/>
  <c r="F84" i="4"/>
  <c r="E85" i="4"/>
  <c r="F85" i="4"/>
  <c r="E86" i="4"/>
  <c r="F86" i="4"/>
  <c r="E87" i="4"/>
  <c r="F87" i="4"/>
  <c r="E88" i="4"/>
  <c r="F88" i="4"/>
  <c r="E89" i="4"/>
  <c r="F89" i="4"/>
  <c r="E90" i="4"/>
  <c r="F90" i="4"/>
  <c r="F2" i="4"/>
  <c r="E2" i="4"/>
  <c r="E3" i="2"/>
  <c r="F3" i="2"/>
  <c r="E4" i="2"/>
  <c r="F4" i="2"/>
  <c r="E5" i="2"/>
  <c r="F5" i="2"/>
  <c r="E6" i="2"/>
  <c r="F6" i="2"/>
  <c r="E7" i="2"/>
  <c r="F7" i="2"/>
  <c r="E8" i="2"/>
  <c r="F8" i="2"/>
  <c r="E9" i="2"/>
  <c r="F9" i="2"/>
  <c r="E10" i="2"/>
  <c r="F10" i="2"/>
  <c r="E11" i="2"/>
  <c r="F11" i="2"/>
  <c r="E12" i="2"/>
  <c r="F12" i="2"/>
  <c r="E13" i="2"/>
  <c r="F13" i="2"/>
  <c r="E14" i="2"/>
  <c r="F14" i="2"/>
  <c r="E15" i="2"/>
  <c r="F15" i="2"/>
  <c r="E16" i="2"/>
  <c r="F16" i="2"/>
  <c r="F2" i="2"/>
  <c r="E2" i="2"/>
  <c r="E3" i="3"/>
  <c r="F3" i="3"/>
  <c r="E4" i="3"/>
  <c r="F4" i="3"/>
  <c r="E5" i="3"/>
  <c r="F5" i="3"/>
  <c r="E6" i="3"/>
  <c r="F6" i="3"/>
  <c r="E7" i="3"/>
  <c r="F7" i="3"/>
  <c r="E8" i="3"/>
  <c r="F8" i="3"/>
  <c r="E9" i="3"/>
  <c r="F9" i="3"/>
  <c r="E10" i="3"/>
  <c r="F10" i="3"/>
  <c r="E11" i="3"/>
  <c r="F11" i="3"/>
  <c r="E12" i="3"/>
  <c r="F12" i="3"/>
  <c r="E13" i="3"/>
  <c r="F13" i="3"/>
  <c r="E14" i="3"/>
  <c r="F14" i="3"/>
  <c r="E15" i="3"/>
  <c r="F15" i="3"/>
  <c r="E16" i="3"/>
  <c r="F16" i="3"/>
  <c r="E17" i="3"/>
  <c r="F17" i="3"/>
  <c r="E18" i="3"/>
  <c r="F18" i="3"/>
  <c r="E19" i="3"/>
  <c r="F19" i="3"/>
  <c r="E20" i="3"/>
  <c r="F20" i="3"/>
  <c r="E21" i="3"/>
  <c r="F21" i="3"/>
  <c r="E22" i="3"/>
  <c r="F22" i="3"/>
  <c r="E23" i="3"/>
  <c r="F23" i="3"/>
  <c r="E24" i="3"/>
  <c r="F24" i="3"/>
  <c r="E25" i="3"/>
  <c r="F25" i="3"/>
  <c r="E26" i="3"/>
  <c r="F26" i="3"/>
  <c r="E27" i="3"/>
  <c r="F27" i="3"/>
  <c r="E28" i="3"/>
  <c r="F28" i="3"/>
  <c r="E29" i="3"/>
  <c r="F29" i="3"/>
  <c r="E30" i="3"/>
  <c r="F30" i="3"/>
  <c r="E31" i="3"/>
  <c r="F31" i="3"/>
  <c r="E32" i="3"/>
  <c r="F32" i="3"/>
  <c r="E33" i="3"/>
  <c r="F33" i="3"/>
  <c r="E34" i="3"/>
  <c r="F34" i="3"/>
  <c r="E35" i="3"/>
  <c r="F35" i="3"/>
  <c r="E36" i="3"/>
  <c r="F36" i="3"/>
  <c r="E37" i="3"/>
  <c r="F37" i="3"/>
  <c r="E38" i="3"/>
  <c r="F38" i="3"/>
  <c r="E39" i="3"/>
  <c r="F39" i="3"/>
  <c r="E40" i="3"/>
  <c r="F40" i="3"/>
  <c r="E41" i="3"/>
  <c r="F41" i="3"/>
  <c r="E42" i="3"/>
  <c r="F42" i="3"/>
  <c r="E43" i="3"/>
  <c r="F43" i="3"/>
  <c r="E44" i="3"/>
  <c r="F44" i="3"/>
  <c r="E45" i="3"/>
  <c r="F45" i="3"/>
  <c r="E46" i="3"/>
  <c r="F46" i="3"/>
  <c r="E47" i="3"/>
  <c r="F47" i="3"/>
  <c r="E48" i="3"/>
  <c r="F48" i="3"/>
  <c r="E49" i="3"/>
  <c r="F49" i="3"/>
  <c r="E50" i="3"/>
  <c r="F50" i="3"/>
  <c r="E51" i="3"/>
  <c r="F51" i="3"/>
  <c r="E52" i="3"/>
  <c r="F52" i="3"/>
  <c r="E53" i="3"/>
  <c r="F53" i="3"/>
  <c r="E54" i="3"/>
  <c r="F54" i="3"/>
  <c r="E55" i="3"/>
  <c r="F55" i="3"/>
  <c r="E56" i="3"/>
  <c r="F56" i="3"/>
  <c r="E57" i="3"/>
  <c r="F57" i="3"/>
  <c r="E58" i="3"/>
  <c r="F58" i="3"/>
  <c r="E59" i="3"/>
  <c r="F59" i="3"/>
  <c r="E60" i="3"/>
  <c r="F60" i="3"/>
  <c r="E61" i="3"/>
  <c r="F61" i="3"/>
  <c r="E62" i="3"/>
  <c r="F62" i="3"/>
  <c r="E63" i="3"/>
  <c r="F63" i="3"/>
  <c r="E64" i="3"/>
  <c r="F64" i="3"/>
  <c r="E65" i="3"/>
  <c r="F65" i="3"/>
  <c r="E66" i="3"/>
  <c r="F66" i="3"/>
  <c r="E67" i="3"/>
  <c r="F67" i="3"/>
  <c r="E68" i="3"/>
  <c r="F68" i="3"/>
  <c r="E69" i="3"/>
  <c r="F69" i="3"/>
  <c r="E70" i="3"/>
  <c r="F70" i="3"/>
  <c r="E71" i="3"/>
  <c r="F71" i="3"/>
  <c r="E72" i="3"/>
  <c r="F72" i="3"/>
  <c r="E73" i="3"/>
  <c r="F73" i="3"/>
  <c r="E74" i="3"/>
  <c r="F74" i="3"/>
  <c r="E75" i="3"/>
  <c r="F75" i="3"/>
  <c r="E76" i="3"/>
  <c r="F76" i="3"/>
  <c r="E77" i="3"/>
  <c r="F77" i="3"/>
  <c r="E78" i="3"/>
  <c r="F78" i="3"/>
  <c r="E79" i="3"/>
  <c r="F79" i="3"/>
  <c r="E80" i="3"/>
  <c r="F80" i="3"/>
  <c r="E81" i="3"/>
  <c r="F81" i="3"/>
  <c r="E82" i="3"/>
  <c r="F82" i="3"/>
  <c r="E83" i="3"/>
  <c r="F83" i="3"/>
  <c r="E84" i="3"/>
  <c r="F84" i="3"/>
  <c r="E85" i="3"/>
  <c r="F85" i="3"/>
  <c r="E86" i="3"/>
  <c r="F86" i="3"/>
  <c r="E88" i="3"/>
  <c r="F88" i="3"/>
  <c r="E89" i="3"/>
  <c r="F89" i="3"/>
  <c r="E90" i="3"/>
  <c r="F90" i="3"/>
  <c r="E91" i="3"/>
  <c r="F91" i="3"/>
  <c r="E92" i="3"/>
  <c r="F92" i="3"/>
  <c r="E93" i="3"/>
  <c r="F93" i="3"/>
  <c r="E94" i="3"/>
  <c r="F94" i="3"/>
  <c r="E95" i="3"/>
  <c r="F95" i="3"/>
  <c r="E96" i="3"/>
  <c r="F96" i="3"/>
  <c r="E97" i="3"/>
  <c r="F97" i="3"/>
  <c r="E98" i="3"/>
  <c r="F98" i="3"/>
  <c r="F2" i="3"/>
  <c r="E2" i="3"/>
</calcChain>
</file>

<file path=xl/sharedStrings.xml><?xml version="1.0" encoding="utf-8"?>
<sst xmlns="http://schemas.openxmlformats.org/spreadsheetml/2006/main" count="1725" uniqueCount="569">
  <si>
    <t>VideoID</t>
  </si>
  <si>
    <t>EventID</t>
  </si>
  <si>
    <t>StartTime</t>
  </si>
  <si>
    <t>EndTime</t>
  </si>
  <si>
    <t>Behavior</t>
  </si>
  <si>
    <t>FishIDs</t>
  </si>
  <si>
    <t>Confidence/Notes</t>
  </si>
  <si>
    <t>0028_vid</t>
  </si>
  <si>
    <t>0028_vid_evt_0001</t>
  </si>
  <si>
    <t>circling</t>
  </si>
  <si>
    <t>27015416|27015431</t>
  </si>
  <si>
    <t>0028_vid_evt_0004</t>
  </si>
  <si>
    <t>27019890|27019908</t>
  </si>
  <si>
    <t>0028_vid_evt_0005</t>
  </si>
  <si>
    <t>27019985|27020025</t>
  </si>
  <si>
    <t>0028_vid_evt_0006</t>
  </si>
  <si>
    <t>0028_vid_evt_0007</t>
  </si>
  <si>
    <t>27019985|27020108</t>
  </si>
  <si>
    <t>0028_vid_evt_0008</t>
  </si>
  <si>
    <t>27019985|27020140</t>
  </si>
  <si>
    <t>0028_vid_evt_0009</t>
  </si>
  <si>
    <t>27019985|27020159</t>
  </si>
  <si>
    <t>0028_vid_evt_0010</t>
  </si>
  <si>
    <t>27020497|27020513</t>
  </si>
  <si>
    <t>0028_vid_evt_0011</t>
  </si>
  <si>
    <t>0028_vid_evt_0012</t>
  </si>
  <si>
    <t>27020561|27020579</t>
  </si>
  <si>
    <t>0028_vid_evt_0013</t>
  </si>
  <si>
    <t>27020561|27020605</t>
  </si>
  <si>
    <t>0028_vid_evt_0014</t>
  </si>
  <si>
    <t>27020561|27020692</t>
  </si>
  <si>
    <t>0028_vid_evt_0015</t>
  </si>
  <si>
    <t>27020692|27020713</t>
  </si>
  <si>
    <t>0028_vid_evt_0016</t>
  </si>
  <si>
    <t>27020936|27020948</t>
  </si>
  <si>
    <t>0028_vid_evt_0017</t>
  </si>
  <si>
    <t>27020948|27020984</t>
  </si>
  <si>
    <t>0028_vid_evt_0018</t>
  </si>
  <si>
    <t>27021339|27021358</t>
  </si>
  <si>
    <t>0028_vid_evt_0019</t>
  </si>
  <si>
    <t>27021358|27021383</t>
  </si>
  <si>
    <t>0028_vid_evt_0020</t>
  </si>
  <si>
    <t>27021383|27021504</t>
  </si>
  <si>
    <t>0028_vid_evt_0021</t>
  </si>
  <si>
    <t>0028_vid_evt_0022</t>
  </si>
  <si>
    <t>27021383|27021592</t>
  </si>
  <si>
    <t>0028_vid_evt_0023</t>
  </si>
  <si>
    <t>27021592|27021616</t>
  </si>
  <si>
    <t>0028_vid_evt_0024</t>
  </si>
  <si>
    <t>27021887|27021893</t>
  </si>
  <si>
    <t>0028_vid_evt_0025</t>
  </si>
  <si>
    <t>27021959|27021963</t>
  </si>
  <si>
    <t>0028_vid_evt_0026</t>
  </si>
  <si>
    <t>27021959|27022018</t>
  </si>
  <si>
    <t>0028_vid_evt_0027</t>
  </si>
  <si>
    <t>27022018|27022062</t>
  </si>
  <si>
    <t>0028_vid_evt_0028</t>
  </si>
  <si>
    <t>0028_vid_evt_0029</t>
  </si>
  <si>
    <t>27022062|27022173</t>
  </si>
  <si>
    <t>0028_vid_evt_0030</t>
  </si>
  <si>
    <t>0028_vid_evt_0031</t>
  </si>
  <si>
    <t>27022062|27022245</t>
  </si>
  <si>
    <t>0028_vid_evt_0032</t>
  </si>
  <si>
    <t>0028_vid_evt_0033</t>
  </si>
  <si>
    <t>27022508|27022544</t>
  </si>
  <si>
    <t>0028_vid_evt_0034</t>
  </si>
  <si>
    <t>27022508|27022627</t>
  </si>
  <si>
    <t>0028_vid_evt_0035</t>
  </si>
  <si>
    <t>0028_vid_evt_0036</t>
  </si>
  <si>
    <t>27022627|27022709</t>
  </si>
  <si>
    <t>0028_vid_evt_0037</t>
  </si>
  <si>
    <t>0028_vid_evt_0038</t>
  </si>
  <si>
    <t>0028_vid_evt_0039</t>
  </si>
  <si>
    <t>27022627|27022874</t>
  </si>
  <si>
    <t>0028_vid_evt_0040</t>
  </si>
  <si>
    <t>27022627|27022934</t>
  </si>
  <si>
    <t>0028_vid_evt_0041</t>
  </si>
  <si>
    <t>0028_vid_evt_0042</t>
  </si>
  <si>
    <t>0028_vid_evt_0043</t>
  </si>
  <si>
    <t>27022934|27023111</t>
  </si>
  <si>
    <t>0028_vid_evt_0044</t>
  </si>
  <si>
    <t>27023313|27023343</t>
  </si>
  <si>
    <t>0028_vid_evt_0045</t>
  </si>
  <si>
    <t>27023580|27023589</t>
  </si>
  <si>
    <t>0028_vid_evt_0046</t>
  </si>
  <si>
    <t>0028_vid_evt_0047</t>
  </si>
  <si>
    <t>27023589|27023650</t>
  </si>
  <si>
    <t>0028_vid_evt_0048</t>
  </si>
  <si>
    <t>27023650|27023686</t>
  </si>
  <si>
    <t>0028_vid_evt_0049</t>
  </si>
  <si>
    <t>27023837|27023865</t>
  </si>
  <si>
    <t>0028_vid_evt_0050</t>
  </si>
  <si>
    <t>27024155|27024157</t>
  </si>
  <si>
    <t>0028_vid_evt_0051</t>
  </si>
  <si>
    <t>0028_vid_evt_0052</t>
  </si>
  <si>
    <t>27024157|27024223</t>
  </si>
  <si>
    <t>0028_vid_evt_0053</t>
  </si>
  <si>
    <t>27024223|27024269</t>
  </si>
  <si>
    <t>0028_vid_evt_0054</t>
  </si>
  <si>
    <t>27024223|27024302</t>
  </si>
  <si>
    <t>0028_vid_evt_0055</t>
  </si>
  <si>
    <t>0028_vid_evt_0056</t>
  </si>
  <si>
    <t>27024302|27024367</t>
  </si>
  <si>
    <t>0028_vid_evt_0057</t>
  </si>
  <si>
    <t>0028_vid_evt_0058</t>
  </si>
  <si>
    <t>27024302|27024425</t>
  </si>
  <si>
    <t>0028_vid_evt_0059</t>
  </si>
  <si>
    <t>27024302|27024469</t>
  </si>
  <si>
    <t>0028_vid_evt_0060</t>
  </si>
  <si>
    <t>27024302|27024529</t>
  </si>
  <si>
    <t>0028_vid_evt_0061</t>
  </si>
  <si>
    <t>0028_vid_evt_0062</t>
  </si>
  <si>
    <t>0028_vid_evt_0063</t>
  </si>
  <si>
    <t>27024650|27024656</t>
  </si>
  <si>
    <t>0028_vid_evt_0064</t>
  </si>
  <si>
    <t>27024650|27024726</t>
  </si>
  <si>
    <t>0028_vid_evt_0065</t>
  </si>
  <si>
    <t>0028_vid_evt_0066</t>
  </si>
  <si>
    <t>27024650|27024822</t>
  </si>
  <si>
    <t>0028_vid_evt_0067</t>
  </si>
  <si>
    <t>27024650|27024883</t>
  </si>
  <si>
    <t>0028_vid_evt_0068</t>
  </si>
  <si>
    <t>0028_vid_evt_0069</t>
  </si>
  <si>
    <t>27025007|27025020</t>
  </si>
  <si>
    <t>0028_vid_evt_0070</t>
  </si>
  <si>
    <t>27025007|27025112</t>
  </si>
  <si>
    <t>0028_vid_evt_0071</t>
  </si>
  <si>
    <t>27025112|27025255</t>
  </si>
  <si>
    <t>0028_vid_evt_0072</t>
  </si>
  <si>
    <t>27025112|27025379</t>
  </si>
  <si>
    <t>0028_vid_evt_0073</t>
  </si>
  <si>
    <t>27025379|27025422</t>
  </si>
  <si>
    <t>0028_vid_evt_0074</t>
  </si>
  <si>
    <t>0028_vid_evt_0075</t>
  </si>
  <si>
    <t>27025422|27025527</t>
  </si>
  <si>
    <t>0028_vid_evt_0076</t>
  </si>
  <si>
    <t>0028_vid_evt_0077</t>
  </si>
  <si>
    <t>0028_vid_evt_0078</t>
  </si>
  <si>
    <t>27025422|27025894</t>
  </si>
  <si>
    <t>0028_vid_evt_0079</t>
  </si>
  <si>
    <t>0028_vid_evt_0080</t>
  </si>
  <si>
    <t>0028_vid_evt_0081</t>
  </si>
  <si>
    <t>27026065|27026086</t>
  </si>
  <si>
    <t>0028_vid_evt_0082</t>
  </si>
  <si>
    <t>27026065|27026114</t>
  </si>
  <si>
    <t>0028_vid_evt_0083</t>
  </si>
  <si>
    <t>27026065|27026257</t>
  </si>
  <si>
    <t>0028_vid_evt_0084</t>
  </si>
  <si>
    <t>27026257|27026298</t>
  </si>
  <si>
    <t>0028_vid_evt_0085</t>
  </si>
  <si>
    <t>27026685|27026721</t>
  </si>
  <si>
    <t>0028_vid_evt_0086</t>
  </si>
  <si>
    <t>27026685|27026841</t>
  </si>
  <si>
    <t>0028_vid_evt_0087</t>
  </si>
  <si>
    <t>0028_vid_evt_0088</t>
  </si>
  <si>
    <t>0028_vid_evt_0089</t>
  </si>
  <si>
    <t>0028_vid_evt_0090</t>
  </si>
  <si>
    <t>27027065|27027069</t>
  </si>
  <si>
    <t>0028_vid_evt_0091</t>
  </si>
  <si>
    <t>27027069|27027352</t>
  </si>
  <si>
    <t>0028_vid_evt_0092</t>
  </si>
  <si>
    <t>27027457|27027527</t>
  </si>
  <si>
    <t>0028_vid_evt_0093</t>
  </si>
  <si>
    <t>27027527|27027588</t>
  </si>
  <si>
    <t>0028_vid_evt_0094</t>
  </si>
  <si>
    <t>27027588|27027634</t>
  </si>
  <si>
    <t>0028_vid_evt_0095</t>
  </si>
  <si>
    <t>0028_vid_evt_0096</t>
  </si>
  <si>
    <t>27027695|27027706</t>
  </si>
  <si>
    <t>0028_vid_evt_0097</t>
  </si>
  <si>
    <t>27027695|27027713</t>
  </si>
  <si>
    <t>0028_vid_evt_0098</t>
  </si>
  <si>
    <t>27027713|27027727</t>
  </si>
  <si>
    <t>0028_vid_evt_0099</t>
  </si>
  <si>
    <t>27028055|27028135</t>
  </si>
  <si>
    <t>0028_vid_evt_0100</t>
  </si>
  <si>
    <t>27028055|27028299</t>
  </si>
  <si>
    <t>0028_vid_evt_0101</t>
  </si>
  <si>
    <t>27028299|27028341</t>
  </si>
  <si>
    <t>0028_vid_evt_0102</t>
  </si>
  <si>
    <t>27028341|27028374</t>
  </si>
  <si>
    <t>0028_vid_evt_0103</t>
  </si>
  <si>
    <t>27028374|27028400</t>
  </si>
  <si>
    <t>0028_vid_evt_0104</t>
  </si>
  <si>
    <t>27028709|27028843</t>
  </si>
  <si>
    <t>0028_vid_evt_0105</t>
  </si>
  <si>
    <t>27028951|27029033</t>
  </si>
  <si>
    <t>0028_vid_evt_0106</t>
  </si>
  <si>
    <t>0028_vid_evt_0107</t>
  </si>
  <si>
    <t>27029033|27029203</t>
  </si>
  <si>
    <t>0028_vid_evt_0108</t>
  </si>
  <si>
    <t>27029033|27029233</t>
  </si>
  <si>
    <t>0028_vid_evt_0109</t>
  </si>
  <si>
    <t>0028_vid_evt_0110</t>
  </si>
  <si>
    <t>27029233|27029377</t>
  </si>
  <si>
    <t>0028_vid_evt_0111</t>
  </si>
  <si>
    <t>27029233|27029409</t>
  </si>
  <si>
    <t>0028_vid_evt_0112</t>
  </si>
  <si>
    <t>0028_vid_evt_0113</t>
  </si>
  <si>
    <t>27029409|27029481</t>
  </si>
  <si>
    <t>0028_vid_evt_0114</t>
  </si>
  <si>
    <t>27029481|27029491</t>
  </si>
  <si>
    <t>0028_vid_evt_0115</t>
  </si>
  <si>
    <t>0028_vid_evt_0116</t>
  </si>
  <si>
    <t>27029491|27029631</t>
  </si>
  <si>
    <t>0028_vid_evt_0117</t>
  </si>
  <si>
    <t>0028_vid_evt_0118</t>
  </si>
  <si>
    <t>27029631|27029679</t>
  </si>
  <si>
    <t>0028_vid_evt_0119</t>
  </si>
  <si>
    <t>27029741|27029779</t>
  </si>
  <si>
    <t>0028_vid_evt_0120</t>
  </si>
  <si>
    <t>0028_vid_evt_0121</t>
  </si>
  <si>
    <t>27029741|27029859</t>
  </si>
  <si>
    <t>0028_vid_evt_0122</t>
  </si>
  <si>
    <t>27029859|27030016</t>
  </si>
  <si>
    <t>0028_vid_evt_0123</t>
  </si>
  <si>
    <t>0028_vid_evt_0124</t>
  </si>
  <si>
    <t>27029859|27030131</t>
  </si>
  <si>
    <t>0028_vid_evt_0125</t>
  </si>
  <si>
    <t>27029859|27030330</t>
  </si>
  <si>
    <t>0028_vid_evt_0126</t>
  </si>
  <si>
    <t>27029859|27030368</t>
  </si>
  <si>
    <t>0028_vid_evt_0127</t>
  </si>
  <si>
    <t>27030714|27030755</t>
  </si>
  <si>
    <t>0028_vid_evt_0128</t>
  </si>
  <si>
    <t>27030887|27030917</t>
  </si>
  <si>
    <t>0028_vid_evt_0129</t>
  </si>
  <si>
    <t>27031032|27031076</t>
  </si>
  <si>
    <t>0028_vid_evt_0130</t>
  </si>
  <si>
    <t>27031089|27031118</t>
  </si>
  <si>
    <t>0028_vid_evt_0131</t>
  </si>
  <si>
    <t>0028_vid_evt_0132</t>
  </si>
  <si>
    <t>27031182|27031186</t>
  </si>
  <si>
    <t>0028_vid_evt_0133</t>
  </si>
  <si>
    <t>27031186|27031227</t>
  </si>
  <si>
    <t>0028_vid_evt_0134</t>
  </si>
  <si>
    <t>27031595|27031600</t>
  </si>
  <si>
    <t>0028_vid_evt_0135</t>
  </si>
  <si>
    <t>0028_vid_evt_0136</t>
  </si>
  <si>
    <t>27031729|27031730</t>
  </si>
  <si>
    <t>0028_vid_evt_0137</t>
  </si>
  <si>
    <t>27032224|27032241</t>
  </si>
  <si>
    <t>0028_vid_evt_0138</t>
  </si>
  <si>
    <t>27032412|27032419</t>
  </si>
  <si>
    <t>0028_vid_evt_0139</t>
  </si>
  <si>
    <t>27032530|27032531</t>
  </si>
  <si>
    <t>0028_vid_evt_0140</t>
  </si>
  <si>
    <t>27033232|27033268</t>
  </si>
  <si>
    <t>0028_vid_evt_0141</t>
  </si>
  <si>
    <t>27033324|27033334</t>
  </si>
  <si>
    <t>0028_vid_evt_0142</t>
  </si>
  <si>
    <t>27033552|27033587</t>
  </si>
  <si>
    <t>0028_vid_evt_0143</t>
  </si>
  <si>
    <t>27033631|27033639</t>
  </si>
  <si>
    <t>0028_vid_evt_0144</t>
  </si>
  <si>
    <t>27033998|27034024</t>
  </si>
  <si>
    <t>0028_vid_evt_0145</t>
  </si>
  <si>
    <t>0028_vid_evt_0146</t>
  </si>
  <si>
    <t>27034629|27034648</t>
  </si>
  <si>
    <t>0028_vid_evt_0147</t>
  </si>
  <si>
    <t>27034839|27034850</t>
  </si>
  <si>
    <t>0028_vid_evt_0148</t>
  </si>
  <si>
    <t>27035677|27035704</t>
  </si>
  <si>
    <t>0028_vid_evt_0149</t>
  </si>
  <si>
    <t>27036303|27036360</t>
  </si>
  <si>
    <t>0028_vid_evt_0150</t>
  </si>
  <si>
    <t>27036933|27036940</t>
  </si>
  <si>
    <t>0028_vid_evt_0151</t>
  </si>
  <si>
    <t>27037943|27037948</t>
  </si>
  <si>
    <t>0028_vid_evt_0152</t>
  </si>
  <si>
    <t>27040154|27040185</t>
  </si>
  <si>
    <t>0028_vid_evt_0153</t>
  </si>
  <si>
    <t>27041123|27041125</t>
  </si>
  <si>
    <t>0028_vid_evt_0154</t>
  </si>
  <si>
    <t>27041382|27041392</t>
  </si>
  <si>
    <t>0028_vid_evt_0155</t>
  </si>
  <si>
    <t>27046766|27046768</t>
  </si>
  <si>
    <t>0028_vid_evt_0156</t>
  </si>
  <si>
    <t>27051164|27051183</t>
  </si>
  <si>
    <t>0028_vid_evt_0157</t>
  </si>
  <si>
    <t>27052734|27052767</t>
  </si>
  <si>
    <t>Start Frame</t>
  </si>
  <si>
    <t>End Frame</t>
  </si>
  <si>
    <t>Rotation direction</t>
  </si>
  <si>
    <t>No. of turns/circles</t>
  </si>
  <si>
    <t>Event Location</t>
  </si>
  <si>
    <t>2nd reviewer notes/comments</t>
  </si>
  <si>
    <t>0028_vid_evt_0000</t>
  </si>
  <si>
    <t>Circling</t>
  </si>
  <si>
    <t>CW</t>
  </si>
  <si>
    <t>CCW</t>
  </si>
  <si>
    <t>0028_vid_evt_0002</t>
  </si>
  <si>
    <t>0028_vid_evt_0003</t>
  </si>
  <si>
    <t>1.5 turns</t>
  </si>
  <si>
    <t>Low confidence; start of time period shows a sequence of seemingly interrupted circling attempts; substantial circling at end of period</t>
  </si>
  <si>
    <t>Should be split into 3:14:54-3:14:56 (small circling span) and 3:15:01-3:15:09</t>
  </si>
  <si>
    <t>Started circling, but a full circle was not completed</t>
  </si>
  <si>
    <t>Striking out events less than 2-3 secs, as it's very unlikely to complete circling in these, like this case</t>
  </si>
  <si>
    <t>Direction CCW --&gt; CW --&gt; CCW</t>
  </si>
  <si>
    <t>Should be broken up into 3 distinct events</t>
  </si>
  <si>
    <t>Not all movements were perfectly circular</t>
  </si>
  <si>
    <t>looked like beginning of behavior but not full; may hve to throw out</t>
  </si>
  <si>
    <t>1 sec event</t>
  </si>
  <si>
    <t>only quivering; no proper circling</t>
  </si>
  <si>
    <t>Definitely more than 1 turn. Almost completed 2nd turn. Should be either 1.5 or 2</t>
  </si>
  <si>
    <t>Low confidence, may not have been full circle</t>
  </si>
  <si>
    <t>Yes, 90% of the circle completed. the female fish left the bout before the circle could have been completed</t>
  </si>
  <si>
    <t>6 or 7 circles, second review needed</t>
  </si>
  <si>
    <t>7th turn is not complete</t>
  </si>
  <si>
    <t>event may have been interrupted after first circle, 2nd reviewer check</t>
  </si>
  <si>
    <t>Event got interrupted before the 1st circle completed. Hence, the span start time should be taken from 4:19:30 instead and not 4:19:24.
9th turn didn't complete fully</t>
  </si>
  <si>
    <t>Hard negative</t>
  </si>
  <si>
    <t>VERY low confidence, not a tight circle; not very uniform, 2nd reviewer check</t>
  </si>
  <si>
    <t>Yes. Completes a circle, but not with smooth circular movements. Rejecting this. Will treat this as "hard negatives"</t>
  </si>
  <si>
    <t>2nd review needed</t>
  </si>
  <si>
    <t>Initial movements are not circular in nature. It's moving along the edges of a rhombus. Actual circular motion starts from 4:43:36, not 4:43:32. Third turn was not fully completed</t>
  </si>
  <si>
    <t>The 2nd turn is almost completed. I would have accepted this as 2 turns as well; but marking 1.5</t>
  </si>
  <si>
    <t>striking this out</t>
  </si>
  <si>
    <t>NEW; detected by Stage 1 detector</t>
  </si>
  <si>
    <t>Event location</t>
  </si>
  <si>
    <t>Completed the 2nd turn partially, and then switched rotation direction, but circling bout ended (female moved away)
Should be 1.5 turns</t>
  </si>
  <si>
    <t>isloated movement, doesn't look like a continuous circling event</t>
  </si>
  <si>
    <t>Away from bower</t>
  </si>
  <si>
    <t>valid circling movement away from bower, just preceded by male fish chasing a third fish away</t>
  </si>
  <si>
    <t>hard negative</t>
  </si>
  <si>
    <t>This isn't a full turn. Striking it out. Can be treated as hard negative</t>
  </si>
  <si>
    <t>This is not a valid circling event. These are two females. Look, the male comes and chases away the female immediately after this</t>
  </si>
  <si>
    <t>Not a complete circle + movements are not a smooth circular motion; can be treated as hard negative</t>
  </si>
  <si>
    <t>not a circling event; fishes are too far apart, and no smooth circling event</t>
  </si>
  <si>
    <t>half/partial circling</t>
  </si>
  <si>
    <t>Should be 3.5 turns</t>
  </si>
  <si>
    <t>Large gap of no circling behaviors after this</t>
  </si>
  <si>
    <t>Full circle not completed ; Treat as hard negative</t>
  </si>
  <si>
    <t>Secondary label/behavior</t>
  </si>
  <si>
    <t>2nd reviewer comments/notes</t>
  </si>
  <si>
    <t>0031_vid</t>
  </si>
  <si>
    <t>0031_vid_evt_0001</t>
  </si>
  <si>
    <t>Bower region</t>
  </si>
  <si>
    <t>Quivering at the start and during circling</t>
  </si>
  <si>
    <t>30004551|30004572</t>
  </si>
  <si>
    <t>0031_vid_evt_0002</t>
  </si>
  <si>
    <t>Quivering</t>
  </si>
  <si>
    <t>30004551|30004620</t>
  </si>
  <si>
    <t>Full circle not completed</t>
  </si>
  <si>
    <t>0031_vid_evt_0003</t>
  </si>
  <si>
    <t>Quivering during circling</t>
  </si>
  <si>
    <t>30004551|30004643</t>
  </si>
  <si>
    <t>0031_vid_evt_0004</t>
  </si>
  <si>
    <t>30004924|30004954</t>
  </si>
  <si>
    <t>quivering + incomplete circling</t>
  </si>
  <si>
    <t>0031_vid_evt_0005</t>
  </si>
  <si>
    <t>30005224|30005228</t>
  </si>
  <si>
    <t>partial circling, but interesting behavior (fish swimming backwards)</t>
  </si>
  <si>
    <t>0031_vid_evt_0006</t>
  </si>
  <si>
    <t>30005776|30005858</t>
  </si>
  <si>
    <t>0031_vid_evt_0007</t>
  </si>
  <si>
    <t>30005888|30005942</t>
  </si>
  <si>
    <t>0031_vid_evt_0008</t>
  </si>
  <si>
    <t>Preceded by 1 partial CCW turn</t>
  </si>
  <si>
    <t>30005888|30005997</t>
  </si>
  <si>
    <t>0031_vid_evt_0009</t>
  </si>
  <si>
    <t>30005997|30006010</t>
  </si>
  <si>
    <t>0031_vid_evt_0010</t>
  </si>
  <si>
    <t>30005997|30006070</t>
  </si>
  <si>
    <t>2nd turn partially completed</t>
  </si>
  <si>
    <t>0031_vid_evt_0011</t>
  </si>
  <si>
    <t>0031_vid_evt_0012</t>
  </si>
  <si>
    <t>3rd turn partially completed</t>
  </si>
  <si>
    <t>0031_vid_evt_0013</t>
  </si>
  <si>
    <t>30006070|30006383</t>
  </si>
  <si>
    <t>0031_vid_evt_0014</t>
  </si>
  <si>
    <t>30006070|30006438</t>
  </si>
  <si>
    <t>only quivering, partial circling</t>
  </si>
  <si>
    <t>0031_vid_evt_0015</t>
  </si>
  <si>
    <t>30006070|30006523</t>
  </si>
  <si>
    <t>only quivering</t>
  </si>
  <si>
    <t>0031_vid_evt_0016</t>
  </si>
  <si>
    <t>30006779|30006813</t>
  </si>
  <si>
    <t>0031_vid_evt_0017</t>
  </si>
  <si>
    <t>30006779|30006857</t>
  </si>
  <si>
    <t>0031_vid_evt_0018</t>
  </si>
  <si>
    <t>30007197|30007289</t>
  </si>
  <si>
    <t>0031_vid_evt_0019</t>
  </si>
  <si>
    <t>30007197|30007360</t>
  </si>
  <si>
    <t>Circling initiated, but even half turn not completed</t>
  </si>
  <si>
    <t>Incomplete circling</t>
  </si>
  <si>
    <t>0031_vid_evt_0020</t>
  </si>
  <si>
    <t>30007197|30007399</t>
  </si>
  <si>
    <t>No full circle</t>
  </si>
  <si>
    <t>0031_vid_evt_0021</t>
  </si>
  <si>
    <t>30007441|30007460</t>
  </si>
  <si>
    <t>quivering + half-circling</t>
  </si>
  <si>
    <t>0031_vid_evt_0022</t>
  </si>
  <si>
    <t>30007606|30007649</t>
  </si>
  <si>
    <t>half-circling</t>
  </si>
  <si>
    <t>0031_vid_evt_0023</t>
  </si>
  <si>
    <t>30007606|30007666</t>
  </si>
  <si>
    <t>0031_vid_evt_0024</t>
  </si>
  <si>
    <t>30007606|30007678</t>
  </si>
  <si>
    <t>3/4th turn completed</t>
  </si>
  <si>
    <t>0031_vid_evt_0025</t>
  </si>
  <si>
    <t>30008076|30008544</t>
  </si>
  <si>
    <t>circling tried by one fish, but failed. the other didn't respond</t>
  </si>
  <si>
    <t>0031_vid_evt_0026</t>
  </si>
  <si>
    <t>0031_vid_evt_0027</t>
  </si>
  <si>
    <t>30008927|30008973</t>
  </si>
  <si>
    <t>0031_vid_evt_0028</t>
  </si>
  <si>
    <t>30008927|30009048</t>
  </si>
  <si>
    <t>0031_vid_evt_0029</t>
  </si>
  <si>
    <t>30008927|30009195</t>
  </si>
  <si>
    <t>0031_vid_evt_0030</t>
  </si>
  <si>
    <t>30009445|30009484</t>
  </si>
  <si>
    <t>Didn't complete the circle; Broke off after 3/4th turn</t>
  </si>
  <si>
    <t>0031_vid_evt_0031</t>
  </si>
  <si>
    <t>0031_vid_evt_0032</t>
  </si>
  <si>
    <t>30009445|30009584</t>
  </si>
  <si>
    <t>3/4th circle completed ; small circling event/span</t>
  </si>
  <si>
    <t>0031_vid_evt_0033</t>
  </si>
  <si>
    <t>30009445|30009619</t>
  </si>
  <si>
    <t>didn't complete the circle</t>
  </si>
  <si>
    <t>0031_vid_evt_0034</t>
  </si>
  <si>
    <t>30010425|30010490</t>
  </si>
  <si>
    <t>1/4th circle</t>
  </si>
  <si>
    <t>0031_vid_evt_0035</t>
  </si>
  <si>
    <t>The male fish chased the female one as soon as the bout ended</t>
  </si>
  <si>
    <t>0031_vid_evt_0036</t>
  </si>
  <si>
    <t>Intense quivering precedes circling</t>
  </si>
  <si>
    <t>30010861|30010897</t>
  </si>
  <si>
    <t>0031_vid_evt_0037</t>
  </si>
  <si>
    <t>30010861|30010921</t>
  </si>
  <si>
    <t>quivering + partial circling</t>
  </si>
  <si>
    <t>0031_vid_evt_0038</t>
  </si>
  <si>
    <t>30010959|30010978</t>
  </si>
  <si>
    <t>0031_vid_evt_0039</t>
  </si>
  <si>
    <t>30011049|30011125</t>
  </si>
  <si>
    <t>0031_vid_evt_0040</t>
  </si>
  <si>
    <t>Failed circling attempt precedes this by 4s</t>
  </si>
  <si>
    <t>30011187|30011222</t>
  </si>
  <si>
    <t>0031_vid_evt_0041</t>
  </si>
  <si>
    <t>30013151|30013161</t>
  </si>
  <si>
    <t>0031_vid_evt_0042</t>
  </si>
  <si>
    <t>30013151|30013205</t>
  </si>
  <si>
    <t>If direction switches are counted in the same event, this would begin @ 2:17:35</t>
  </si>
  <si>
    <t>Direction switches are treated as different events and since it didn't complete a full circle, I discarded it.</t>
  </si>
  <si>
    <t>0031_vid_evt_0043</t>
  </si>
  <si>
    <t>30013812|30014213</t>
  </si>
  <si>
    <t>Circling starts earlier @ 2:26:02</t>
  </si>
  <si>
    <t>Changed</t>
  </si>
  <si>
    <t>0031_vid_evt_0044</t>
  </si>
  <si>
    <t>30013812|30014270</t>
  </si>
  <si>
    <t>Circling may be incomplete</t>
  </si>
  <si>
    <t>No, 1 full rotation seems to be there.
Consider starting and end position of the fish</t>
  </si>
  <si>
    <t>0031_vid_evt_0045</t>
  </si>
  <si>
    <t>30013812|30014358</t>
  </si>
  <si>
    <t>0031_vid_evt_0046</t>
  </si>
  <si>
    <t>30014373|30014411</t>
  </si>
  <si>
    <t>0031_vid_evt_0047</t>
  </si>
  <si>
    <t>30014468|30014504</t>
  </si>
  <si>
    <t>0031_vid_evt_0048</t>
  </si>
  <si>
    <t>30014468|30014527</t>
  </si>
  <si>
    <t>Additional circling spanning 2:28:40 - 2:28:48</t>
  </si>
  <si>
    <t>Thanks, added.</t>
  </si>
  <si>
    <t>0031_vid_evt_0049</t>
  </si>
  <si>
    <t>30014468|30014637</t>
  </si>
  <si>
    <t>3rd turn left incomplete</t>
  </si>
  <si>
    <t>0031_vid_evt_0050</t>
  </si>
  <si>
    <t>0031_vid_evt_0051</t>
  </si>
  <si>
    <t>30014468|30014681</t>
  </si>
  <si>
    <t>0031_vid_evt_0052</t>
  </si>
  <si>
    <t>0031_vid_evt_0053</t>
  </si>
  <si>
    <t>0031_vid_evt_0054</t>
  </si>
  <si>
    <t>0031_vid_evt_0055</t>
  </si>
  <si>
    <t>30014717|30014723</t>
  </si>
  <si>
    <t>0031_vid_evt_0056</t>
  </si>
  <si>
    <t>30014723|30014785</t>
  </si>
  <si>
    <t>0031_vid_evt_0057</t>
  </si>
  <si>
    <t>30014723|30014840</t>
  </si>
  <si>
    <t>0031_vid_evt_0058</t>
  </si>
  <si>
    <t>30014899|30014954</t>
  </si>
  <si>
    <t>3/4 circle complete - incomplete</t>
  </si>
  <si>
    <t>Consider the starting position at 2:32:47 or 48; seems complete when you look at end position</t>
  </si>
  <si>
    <t>0031_vid_evt_0059</t>
  </si>
  <si>
    <t>Full circle not completed; 3/4th
This was present in original ground truth labels (Circling sheet)</t>
  </si>
  <si>
    <t>Just about completed full circle</t>
  </si>
  <si>
    <t>0031_vid_evt_0060</t>
  </si>
  <si>
    <t>30015071|30015126</t>
  </si>
  <si>
    <t>9th circle was not fully completed</t>
  </si>
  <si>
    <t>0031_vid_evt_0061</t>
  </si>
  <si>
    <t>30015179|30015541</t>
  </si>
  <si>
    <t>0031_vid_evt_0062</t>
  </si>
  <si>
    <t>30015593|30015626</t>
  </si>
  <si>
    <t>0031_vid_evt_0063</t>
  </si>
  <si>
    <t>30015626|30015710</t>
  </si>
  <si>
    <t>0031_vid_evt_0064</t>
  </si>
  <si>
    <t>30015710|30015897</t>
  </si>
  <si>
    <t>0031_vid_evt_0065</t>
  </si>
  <si>
    <t>30016280|30016290</t>
  </si>
  <si>
    <t>0031_vid_evt_0066</t>
  </si>
  <si>
    <t>30016290|30016344</t>
  </si>
  <si>
    <t>2 incomplete circles in different directions</t>
  </si>
  <si>
    <t>First one (CW) seems complete; discarded the 2nd one</t>
  </si>
  <si>
    <t>0031_vid_evt_0067</t>
  </si>
  <si>
    <t>30016416|30016512</t>
  </si>
  <si>
    <t>5th turn not completed</t>
  </si>
  <si>
    <t>0031_vid_evt_0068</t>
  </si>
  <si>
    <t>30016416|30016592</t>
  </si>
  <si>
    <t>Additional circling spanning 2:53:10 - 2:53:14</t>
  </si>
  <si>
    <t>Added; but composed of broken motions, instead of one continuous flow</t>
  </si>
  <si>
    <t>0031_vid_evt_0069</t>
  </si>
  <si>
    <t>30017174|30017225</t>
  </si>
  <si>
    <t>0031_vid_evt_0070</t>
  </si>
  <si>
    <t>End was interrupted by other fishes; male quickly switched to bower protection mode</t>
  </si>
  <si>
    <t>30017244|30017255</t>
  </si>
  <si>
    <t>0031_vid_evt_0071</t>
  </si>
  <si>
    <t>3rd turn was interrupted by other fish</t>
  </si>
  <si>
    <t>30017244|30017353</t>
  </si>
  <si>
    <t>0031_vid_evt_0072</t>
  </si>
  <si>
    <t>30017244|30017413</t>
  </si>
  <si>
    <t>0031_vid_evt_0073</t>
  </si>
  <si>
    <t>30017413|30017484</t>
  </si>
  <si>
    <t>0031_vid_evt_0074</t>
  </si>
  <si>
    <t>30017503|30017520</t>
  </si>
  <si>
    <t>0031_vid_evt_0075</t>
  </si>
  <si>
    <t>30017503|30017552</t>
  </si>
  <si>
    <t>0031_vid_evt_0076</t>
  </si>
  <si>
    <t>30017582|30017631</t>
  </si>
  <si>
    <t>10th turn was not fully completed</t>
  </si>
  <si>
    <t>0031_vid_evt_0077</t>
  </si>
  <si>
    <t>30017582|30017830</t>
  </si>
  <si>
    <t>0031_vid_evt_0078</t>
  </si>
  <si>
    <t>30017582|30017899</t>
  </si>
  <si>
    <t>Did not complete 11th turn</t>
  </si>
  <si>
    <t>0031_vid_evt_0079</t>
  </si>
  <si>
    <t>30018282|30018287</t>
  </si>
  <si>
    <t>only quivering; circling didn't initiate properly</t>
  </si>
  <si>
    <t>0031_vid_evt_0080</t>
  </si>
  <si>
    <t>30018287|30018329</t>
  </si>
  <si>
    <t>Just about completes a full circle</t>
  </si>
  <si>
    <t>0031_vid_evt_0081</t>
  </si>
  <si>
    <t>30018742|30018763</t>
  </si>
  <si>
    <t>0031_vid_evt_0082</t>
  </si>
  <si>
    <t>30019289|30019292</t>
  </si>
  <si>
    <t>slow circling movements; doesn't look like courtship behavior</t>
  </si>
  <si>
    <t>0031_vid_evt_0083</t>
  </si>
  <si>
    <t>30019412|30019510</t>
  </si>
  <si>
    <t>looks like protective behavior; not circling</t>
  </si>
  <si>
    <t>0031_vid_evt_0084</t>
  </si>
  <si>
    <t>30020108|30020128</t>
  </si>
  <si>
    <t>small burst of circling event before other fishes interfered</t>
  </si>
  <si>
    <t>0031_vid_evt_0085</t>
  </si>
  <si>
    <t xml:space="preserve"> </t>
  </si>
  <si>
    <t>30022780|30022790</t>
  </si>
  <si>
    <t>little quivering + half circle; can be used as hard negative label</t>
  </si>
  <si>
    <t>0031_vid_evt_0086</t>
  </si>
  <si>
    <t>30022790|30022811</t>
  </si>
  <si>
    <t>more of quivering than circling</t>
  </si>
  <si>
    <t>0031_vid_evt_0087</t>
  </si>
  <si>
    <t>30038688|30038693</t>
  </si>
  <si>
    <t>They didn't make a full circle here, still considered circling?</t>
  </si>
  <si>
    <t>Yes. These are not circling events. Because of the incessant quivering seen here, I was not sure whether to consider it a courtship behavior or not, as quivering is valid courtship behavior, but circling is not complete here.
I'll list such doubts and ask Niral or someone from Prof. McGrath's lab to clear these. However, for the time being, I agree. Such instances should not be kept in circling event annotations</t>
  </si>
  <si>
    <t>0031_vid_evt_0088</t>
  </si>
  <si>
    <t>30038688|30038712</t>
  </si>
  <si>
    <t>0031_vid_evt_0089</t>
  </si>
  <si>
    <t>30039114|30039135</t>
  </si>
  <si>
    <t>0031_vid_evt_0090</t>
  </si>
  <si>
    <t>30039507|30039508</t>
  </si>
  <si>
    <t>0031_vid_evt_0091</t>
  </si>
  <si>
    <t>30045364|30045365</t>
  </si>
  <si>
    <t>Quivering + half circle; low confidence; can be used as a hard negative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</si>
</sst>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rgb="FF000000"/>
      <name val="Aptos Narrow"/>
      <family val="2"/>
    </font>
    <font>
      <sz val="10"/>
      <color theme="1"/>
      <name val="Arial"/>
      <charset val="1"/>
    </font>
    <font>
      <sz val="11"/>
      <color theme="1"/>
      <name val="Arial"/>
      <charset val="1"/>
    </font>
    <font>
      <strike/>
      <sz val="11"/>
      <color rgb="FF000000"/>
      <name val="Aptos Narrow"/>
      <family val="2"/>
    </font>
    <font>
      <strike/>
      <sz val="11"/>
      <color theme="1"/>
      <name val="Calibri"/>
      <family val="2"/>
      <scheme val="minor"/>
    </font>
    <font>
      <strike/>
      <sz val="11"/>
      <color theme="1"/>
      <name val="Arial"/>
      <charset val="1"/>
    </font>
    <font>
      <strike/>
      <sz val="10"/>
      <color theme="1"/>
      <name val="Arial"/>
      <charset val="1"/>
    </font>
    <font>
      <sz val="11"/>
      <color theme="1"/>
      <name val="Aptos Narrow"/>
      <charset val="1"/>
    </font>
    <font>
      <sz val="11"/>
      <color theme="1"/>
      <name val="Calibri"/>
      <charset val="1"/>
    </font>
    <font>
      <strike/>
      <sz val="11"/>
      <color theme="1"/>
      <name val="Calibri"/>
      <charset val="1"/>
    </font>
  </fonts>
  <fills count="2">
    <fill>
      <patternFill patternType="none"/>
    </fill>
    <fill>
      <patternFill patternType="gray125"/>
    </fill>
  </fills>
  <borders count="7">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s>
  <cellStyleXfs count="1">
    <xf numFmtId="0" fontId="0" fillId="0" borderId="0"/>
  </cellStyleXfs>
  <cellXfs count="45">
    <xf numFmtId="0" fontId="0" fillId="0" borderId="0" xfId="0"/>
    <xf numFmtId="0" fontId="1" fillId="0" borderId="0" xfId="0" applyFont="1"/>
    <xf numFmtId="21" fontId="1" fillId="0" borderId="0" xfId="0" applyNumberFormat="1" applyFont="1"/>
    <xf numFmtId="0" fontId="1" fillId="0" borderId="0" xfId="0" applyFont="1" applyAlignment="1">
      <alignment horizontal="center"/>
    </xf>
    <xf numFmtId="21" fontId="0" fillId="0" borderId="0" xfId="0" applyNumberFormat="1"/>
    <xf numFmtId="0" fontId="0" fillId="0" borderId="0" xfId="0" applyAlignment="1">
      <alignment wrapText="1"/>
    </xf>
    <xf numFmtId="0" fontId="4" fillId="0" borderId="0" xfId="0" applyFont="1"/>
    <xf numFmtId="21" fontId="4" fillId="0" borderId="0" xfId="0" applyNumberFormat="1" applyFont="1"/>
    <xf numFmtId="21" fontId="5" fillId="0" borderId="0" xfId="0" applyNumberFormat="1" applyFont="1"/>
    <xf numFmtId="0" fontId="5" fillId="0" borderId="0" xfId="0" applyFont="1"/>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21" fontId="1" fillId="0" borderId="0" xfId="0" applyNumberFormat="1" applyFont="1" applyAlignment="1">
      <alignment horizontal="center" vertical="center"/>
    </xf>
    <xf numFmtId="0" fontId="4" fillId="0" borderId="0" xfId="0" applyFont="1" applyAlignment="1">
      <alignment horizontal="center" vertical="center"/>
    </xf>
    <xf numFmtId="21" fontId="4" fillId="0" borderId="0" xfId="0" applyNumberFormat="1" applyFont="1" applyAlignment="1">
      <alignment horizontal="center" vertical="center"/>
    </xf>
    <xf numFmtId="0" fontId="4" fillId="0" borderId="0" xfId="0" applyFont="1" applyAlignment="1">
      <alignment horizontal="center" vertical="center" wrapText="1"/>
    </xf>
    <xf numFmtId="1" fontId="1" fillId="0" borderId="0" xfId="0" applyNumberFormat="1" applyFont="1" applyAlignment="1">
      <alignment horizontal="center" vertical="center"/>
    </xf>
    <xf numFmtId="1" fontId="0" fillId="0" borderId="0" xfId="0" applyNumberFormat="1" applyAlignment="1">
      <alignment horizontal="center" vertical="center"/>
    </xf>
    <xf numFmtId="0" fontId="2" fillId="0" borderId="1" xfId="0" applyFont="1" applyBorder="1" applyAlignment="1">
      <alignment horizontal="center" vertical="center" wrapText="1" readingOrder="1"/>
    </xf>
    <xf numFmtId="0" fontId="2" fillId="0" borderId="2" xfId="0" applyFont="1" applyBorder="1" applyAlignment="1">
      <alignment horizontal="center" vertical="center" wrapText="1" readingOrder="1"/>
    </xf>
    <xf numFmtId="0" fontId="8"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9" fillId="0" borderId="2" xfId="0" applyFont="1" applyBorder="1" applyAlignment="1">
      <alignment horizontal="center" vertical="center" wrapText="1" readingOrder="1"/>
    </xf>
    <xf numFmtId="0" fontId="2" fillId="0" borderId="2" xfId="0" applyFont="1" applyBorder="1" applyAlignment="1">
      <alignment horizontal="center" vertical="center" readingOrder="1"/>
    </xf>
    <xf numFmtId="0" fontId="3" fillId="0" borderId="4" xfId="0" applyFont="1" applyBorder="1" applyAlignment="1">
      <alignment horizontal="center" vertical="center" wrapText="1" readingOrder="1"/>
    </xf>
    <xf numFmtId="0" fontId="3" fillId="0" borderId="5" xfId="0" applyFont="1" applyBorder="1" applyAlignment="1">
      <alignment horizontal="center" vertical="center" wrapText="1" readingOrder="1"/>
    </xf>
    <xf numFmtId="21" fontId="2" fillId="0" borderId="5" xfId="0" applyNumberFormat="1" applyFont="1" applyBorder="1" applyAlignment="1">
      <alignment horizontal="center" vertical="center" wrapText="1" readingOrder="1"/>
    </xf>
    <xf numFmtId="0" fontId="2" fillId="0" borderId="5" xfId="0" applyFont="1" applyBorder="1" applyAlignment="1">
      <alignment horizontal="center" vertical="center" wrapText="1" readingOrder="1"/>
    </xf>
    <xf numFmtId="0" fontId="2" fillId="0" borderId="5" xfId="0" applyFont="1" applyBorder="1" applyAlignment="1">
      <alignment horizontal="center" vertical="center" readingOrder="1"/>
    </xf>
    <xf numFmtId="0" fontId="2" fillId="0" borderId="6" xfId="0" applyFont="1" applyBorder="1" applyAlignment="1">
      <alignment horizontal="center" vertical="center" readingOrder="1"/>
    </xf>
    <xf numFmtId="0" fontId="6" fillId="0" borderId="4" xfId="0" applyFont="1" applyBorder="1" applyAlignment="1">
      <alignment horizontal="center" vertical="center" wrapText="1" readingOrder="1"/>
    </xf>
    <xf numFmtId="0" fontId="6" fillId="0" borderId="5" xfId="0" applyFont="1" applyBorder="1" applyAlignment="1">
      <alignment horizontal="center" vertical="center" wrapText="1" readingOrder="1"/>
    </xf>
    <xf numFmtId="21" fontId="7" fillId="0" borderId="5" xfId="0" applyNumberFormat="1" applyFont="1" applyBorder="1" applyAlignment="1">
      <alignment horizontal="center" vertical="center" wrapText="1" readingOrder="1"/>
    </xf>
    <xf numFmtId="0" fontId="7" fillId="0" borderId="5" xfId="0" applyFont="1" applyBorder="1" applyAlignment="1">
      <alignment horizontal="center" vertical="center" wrapText="1" readingOrder="1"/>
    </xf>
    <xf numFmtId="0" fontId="7" fillId="0" borderId="6" xfId="0" applyFont="1" applyBorder="1" applyAlignment="1">
      <alignment horizontal="center" vertical="center" wrapText="1" readingOrder="1"/>
    </xf>
    <xf numFmtId="0" fontId="10" fillId="0" borderId="5" xfId="0" applyFont="1" applyBorder="1" applyAlignment="1">
      <alignment horizontal="center" vertical="center" wrapText="1" readingOrder="1"/>
    </xf>
    <xf numFmtId="0" fontId="2" fillId="0" borderId="6" xfId="0" applyFont="1" applyBorder="1" applyAlignment="1">
      <alignment horizontal="center" vertical="center" wrapText="1" readingOrder="1"/>
    </xf>
    <xf numFmtId="0" fontId="9" fillId="0" borderId="5" xfId="0" applyFont="1" applyBorder="1" applyAlignment="1">
      <alignment horizontal="center" vertical="center" wrapText="1" readingOrder="1"/>
    </xf>
    <xf numFmtId="1" fontId="4" fillId="0" borderId="0" xfId="0" applyNumberFormat="1" applyFont="1" applyAlignment="1">
      <alignment horizontal="center" vertical="center"/>
    </xf>
    <xf numFmtId="0" fontId="1" fillId="0" borderId="0" xfId="0" applyFont="1" applyAlignment="1">
      <alignment wrapText="1"/>
    </xf>
    <xf numFmtId="21" fontId="0" fillId="0" borderId="0" xfId="0" applyNumberFormat="1"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6"/>
  <sheetViews>
    <sheetView topLeftCell="A135" workbookViewId="0">
      <selection activeCell="I153" sqref="I153"/>
    </sheetView>
  </sheetViews>
  <sheetFormatPr defaultRowHeight="15"/>
  <cols>
    <col min="1" max="1" width="8.85546875" bestFit="1" customWidth="1"/>
    <col min="2" max="2" width="17.85546875" bestFit="1" customWidth="1"/>
    <col min="3" max="3" width="9.42578125" bestFit="1" customWidth="1"/>
    <col min="4" max="5" width="8.5703125" bestFit="1" customWidth="1"/>
    <col min="6" max="6" width="19.85546875" bestFit="1" customWidth="1"/>
    <col min="7" max="7" width="17" bestFit="1" customWidth="1"/>
    <col min="12" max="12" width="18.140625" customWidth="1"/>
    <col min="13" max="13" width="12.5703125" customWidth="1"/>
    <col min="14" max="14" width="12.140625" customWidth="1"/>
    <col min="17" max="17" width="17.5703125" customWidth="1"/>
  </cols>
  <sheetData>
    <row r="1" spans="1:17">
      <c r="A1" s="1" t="s">
        <v>0</v>
      </c>
      <c r="B1" s="1" t="s">
        <v>1</v>
      </c>
      <c r="C1" s="1" t="s">
        <v>2</v>
      </c>
      <c r="D1" s="1" t="s">
        <v>3</v>
      </c>
      <c r="E1" s="1" t="s">
        <v>4</v>
      </c>
      <c r="F1" s="1" t="s">
        <v>5</v>
      </c>
      <c r="G1" s="1" t="s">
        <v>6</v>
      </c>
      <c r="K1" s="3"/>
      <c r="L1" s="3"/>
      <c r="M1" s="3"/>
      <c r="N1" s="3"/>
      <c r="O1" s="3"/>
      <c r="P1" s="3"/>
      <c r="Q1" s="3"/>
    </row>
    <row r="2" spans="1:17">
      <c r="A2" s="1" t="s">
        <v>7</v>
      </c>
      <c r="B2" s="1" t="s">
        <v>8</v>
      </c>
      <c r="C2" s="2">
        <v>7.9537037037037031E-2</v>
      </c>
      <c r="D2" s="2">
        <v>7.9699074074074075E-2</v>
      </c>
      <c r="E2" s="1" t="s">
        <v>9</v>
      </c>
      <c r="F2" s="1" t="s">
        <v>10</v>
      </c>
      <c r="G2" s="1">
        <v>0.37069999999999997</v>
      </c>
      <c r="K2" s="1"/>
      <c r="L2" s="1"/>
      <c r="M2" s="2"/>
      <c r="N2" s="2"/>
    </row>
    <row r="3" spans="1:17">
      <c r="A3" s="1" t="s">
        <v>7</v>
      </c>
      <c r="B3" s="1" t="s">
        <v>11</v>
      </c>
      <c r="C3" s="2">
        <v>0.12837962962962962</v>
      </c>
      <c r="D3" s="2">
        <v>0.1285300925925926</v>
      </c>
      <c r="E3" s="1" t="s">
        <v>9</v>
      </c>
      <c r="F3" s="1" t="s">
        <v>12</v>
      </c>
      <c r="G3" s="1">
        <v>0.39529999999999998</v>
      </c>
      <c r="K3" s="1"/>
      <c r="L3" s="1"/>
      <c r="M3" s="2"/>
      <c r="N3" s="4"/>
    </row>
    <row r="4" spans="1:17">
      <c r="A4" s="1" t="s">
        <v>7</v>
      </c>
      <c r="B4" s="1" t="s">
        <v>13</v>
      </c>
      <c r="C4" s="2">
        <v>0.12910879629629629</v>
      </c>
      <c r="D4" s="2">
        <v>0.12917824074074075</v>
      </c>
      <c r="E4" s="1" t="s">
        <v>9</v>
      </c>
      <c r="F4" s="1" t="s">
        <v>14</v>
      </c>
      <c r="G4" s="1">
        <v>0.44209999999999999</v>
      </c>
      <c r="K4" s="1"/>
      <c r="L4" s="1"/>
      <c r="M4" s="2"/>
    </row>
    <row r="5" spans="1:17">
      <c r="A5" s="1" t="s">
        <v>7</v>
      </c>
      <c r="B5" s="1" t="s">
        <v>15</v>
      </c>
      <c r="C5" s="2">
        <v>0.12922453703703704</v>
      </c>
      <c r="D5" s="2">
        <v>0.12929398148148147</v>
      </c>
      <c r="E5" s="1" t="s">
        <v>9</v>
      </c>
      <c r="F5" s="1" t="s">
        <v>14</v>
      </c>
      <c r="G5" s="1">
        <v>0.51090000000000002</v>
      </c>
      <c r="K5" s="1"/>
      <c r="L5" s="1"/>
      <c r="M5" s="2"/>
    </row>
    <row r="6" spans="1:17">
      <c r="A6" s="1" t="s">
        <v>7</v>
      </c>
      <c r="B6" s="1" t="s">
        <v>16</v>
      </c>
      <c r="C6" s="2">
        <v>0.12939814814814815</v>
      </c>
      <c r="D6" s="2">
        <v>0.12943287037037038</v>
      </c>
      <c r="E6" s="1" t="s">
        <v>9</v>
      </c>
      <c r="F6" s="1" t="s">
        <v>17</v>
      </c>
      <c r="G6" s="1">
        <v>0.4506</v>
      </c>
      <c r="K6" s="1"/>
      <c r="L6" s="1"/>
      <c r="M6" s="2"/>
    </row>
    <row r="7" spans="1:17">
      <c r="A7" s="1" t="s">
        <v>7</v>
      </c>
      <c r="B7" s="1" t="s">
        <v>18</v>
      </c>
      <c r="C7" s="2">
        <v>0.1295138888888889</v>
      </c>
      <c r="D7" s="2">
        <v>0.12956018518518519</v>
      </c>
      <c r="E7" s="1" t="s">
        <v>9</v>
      </c>
      <c r="F7" s="1" t="s">
        <v>19</v>
      </c>
      <c r="G7" s="1">
        <v>0.36809999999999998</v>
      </c>
      <c r="K7" s="1"/>
      <c r="L7" s="1"/>
      <c r="M7" s="2"/>
    </row>
    <row r="8" spans="1:17">
      <c r="A8" s="1" t="s">
        <v>7</v>
      </c>
      <c r="B8" s="1" t="s">
        <v>20</v>
      </c>
      <c r="C8" s="2">
        <v>0.12968750000000001</v>
      </c>
      <c r="D8" s="2">
        <v>0.12971064814814814</v>
      </c>
      <c r="E8" s="1" t="s">
        <v>9</v>
      </c>
      <c r="F8" s="1" t="s">
        <v>21</v>
      </c>
      <c r="G8" s="1">
        <v>0.56379999999999997</v>
      </c>
      <c r="K8" s="1"/>
      <c r="L8" s="1"/>
      <c r="M8" s="2"/>
    </row>
    <row r="9" spans="1:17">
      <c r="A9" s="1" t="s">
        <v>7</v>
      </c>
      <c r="B9" s="1" t="s">
        <v>22</v>
      </c>
      <c r="C9" s="2">
        <v>0.13523148148148148</v>
      </c>
      <c r="D9" s="2">
        <v>0.13527777777777777</v>
      </c>
      <c r="E9" s="1" t="s">
        <v>9</v>
      </c>
      <c r="F9" s="1" t="s">
        <v>23</v>
      </c>
      <c r="G9" s="1">
        <v>0.1983</v>
      </c>
      <c r="K9" s="1"/>
      <c r="L9" s="1"/>
      <c r="M9" s="2"/>
    </row>
    <row r="10" spans="1:17">
      <c r="A10" s="1" t="s">
        <v>7</v>
      </c>
      <c r="B10" s="1" t="s">
        <v>24</v>
      </c>
      <c r="C10" s="2">
        <v>0.13532407407407407</v>
      </c>
      <c r="D10" s="2">
        <v>0.1353587962962963</v>
      </c>
      <c r="E10" s="1" t="s">
        <v>9</v>
      </c>
      <c r="F10" s="1" t="s">
        <v>23</v>
      </c>
      <c r="G10" s="1">
        <v>0.35160000000000002</v>
      </c>
      <c r="K10" s="1"/>
      <c r="L10" s="1"/>
      <c r="M10" s="2"/>
    </row>
    <row r="11" spans="1:17">
      <c r="A11" s="1" t="s">
        <v>7</v>
      </c>
      <c r="B11" s="1" t="s">
        <v>25</v>
      </c>
      <c r="C11" s="2">
        <v>0.13547453703703705</v>
      </c>
      <c r="D11" s="2">
        <v>0.13549768518518518</v>
      </c>
      <c r="E11" s="1" t="s">
        <v>9</v>
      </c>
      <c r="F11" s="1" t="s">
        <v>26</v>
      </c>
      <c r="G11" s="1">
        <v>0.60970000000000002</v>
      </c>
      <c r="K11" s="1"/>
      <c r="L11" s="1"/>
      <c r="M11" s="2"/>
    </row>
    <row r="12" spans="1:17">
      <c r="A12" s="1" t="s">
        <v>7</v>
      </c>
      <c r="B12" s="1" t="s">
        <v>27</v>
      </c>
      <c r="C12" s="2">
        <v>0.13560185185185186</v>
      </c>
      <c r="D12" s="2">
        <v>0.13576388888888888</v>
      </c>
      <c r="E12" s="1" t="s">
        <v>9</v>
      </c>
      <c r="F12" s="1" t="s">
        <v>28</v>
      </c>
      <c r="G12" s="1">
        <v>0.5</v>
      </c>
      <c r="K12" s="1"/>
      <c r="L12" s="1"/>
      <c r="M12" s="2"/>
    </row>
    <row r="13" spans="1:17">
      <c r="A13" s="1" t="s">
        <v>7</v>
      </c>
      <c r="B13" s="1" t="s">
        <v>29</v>
      </c>
      <c r="C13" s="2">
        <v>0.13589120370370369</v>
      </c>
      <c r="D13" s="2">
        <v>0.13593749999999999</v>
      </c>
      <c r="E13" s="1" t="s">
        <v>9</v>
      </c>
      <c r="F13" s="1" t="s">
        <v>30</v>
      </c>
      <c r="G13" s="1">
        <v>0.4879</v>
      </c>
      <c r="K13" s="1"/>
      <c r="L13" s="1"/>
      <c r="M13" s="2"/>
    </row>
    <row r="14" spans="1:17">
      <c r="A14" s="1" t="s">
        <v>7</v>
      </c>
      <c r="B14" s="1" t="s">
        <v>31</v>
      </c>
      <c r="C14" s="2">
        <v>0.13593749999999999</v>
      </c>
      <c r="D14" s="2">
        <v>0.13596064814814815</v>
      </c>
      <c r="E14" s="1" t="s">
        <v>9</v>
      </c>
      <c r="F14" s="1" t="s">
        <v>32</v>
      </c>
      <c r="G14" s="1">
        <v>0.31830000000000003</v>
      </c>
      <c r="K14" s="1"/>
      <c r="L14" s="1"/>
      <c r="M14" s="2"/>
    </row>
    <row r="15" spans="1:17">
      <c r="A15" s="1" t="s">
        <v>7</v>
      </c>
      <c r="B15" s="1" t="s">
        <v>33</v>
      </c>
      <c r="C15" s="2">
        <v>0.138125</v>
      </c>
      <c r="D15" s="2">
        <v>0.13814814814814816</v>
      </c>
      <c r="E15" s="1" t="s">
        <v>9</v>
      </c>
      <c r="F15" s="1" t="s">
        <v>34</v>
      </c>
      <c r="G15" s="1">
        <v>0.38929999999999998</v>
      </c>
      <c r="K15" s="1"/>
      <c r="L15" s="1"/>
      <c r="M15" s="2"/>
    </row>
    <row r="16" spans="1:17">
      <c r="A16" s="1" t="s">
        <v>7</v>
      </c>
      <c r="B16" s="1" t="s">
        <v>35</v>
      </c>
      <c r="C16" s="2">
        <v>0.13833333333333334</v>
      </c>
      <c r="D16" s="2">
        <v>0.13837962962962963</v>
      </c>
      <c r="E16" s="1" t="s">
        <v>9</v>
      </c>
      <c r="F16" s="1" t="s">
        <v>36</v>
      </c>
      <c r="G16" s="1">
        <v>0.3483</v>
      </c>
      <c r="K16" s="1"/>
      <c r="L16" s="1"/>
      <c r="M16" s="2"/>
    </row>
    <row r="17" spans="1:13">
      <c r="A17" s="1" t="s">
        <v>7</v>
      </c>
      <c r="B17" s="1" t="s">
        <v>37</v>
      </c>
      <c r="C17" s="2">
        <v>0.14185185185185184</v>
      </c>
      <c r="D17" s="2">
        <v>0.14189814814814813</v>
      </c>
      <c r="E17" s="1" t="s">
        <v>9</v>
      </c>
      <c r="F17" s="1" t="s">
        <v>38</v>
      </c>
      <c r="G17" s="1">
        <v>0.35460000000000003</v>
      </c>
      <c r="K17" s="1"/>
      <c r="L17" s="1"/>
      <c r="M17" s="2"/>
    </row>
    <row r="18" spans="1:13">
      <c r="A18" s="1" t="s">
        <v>7</v>
      </c>
      <c r="B18" s="1" t="s">
        <v>39</v>
      </c>
      <c r="C18" s="2">
        <v>0.14215277777777777</v>
      </c>
      <c r="D18" s="2">
        <v>0.14244212962962963</v>
      </c>
      <c r="E18" s="1" t="s">
        <v>9</v>
      </c>
      <c r="F18" s="1" t="s">
        <v>40</v>
      </c>
      <c r="G18" s="1">
        <v>0.50449999999999995</v>
      </c>
      <c r="K18" s="1"/>
      <c r="L18" s="1"/>
      <c r="M18" s="2"/>
    </row>
    <row r="19" spans="1:13">
      <c r="A19" s="1" t="s">
        <v>7</v>
      </c>
      <c r="B19" s="1" t="s">
        <v>41</v>
      </c>
      <c r="C19" s="2">
        <v>0.14266203703703703</v>
      </c>
      <c r="D19" s="2">
        <v>0.14271990740740742</v>
      </c>
      <c r="E19" s="1" t="s">
        <v>9</v>
      </c>
      <c r="F19" s="1" t="s">
        <v>42</v>
      </c>
      <c r="G19" s="1">
        <v>0.4985</v>
      </c>
      <c r="K19" s="1"/>
      <c r="L19" s="1"/>
      <c r="M19" s="2"/>
    </row>
    <row r="20" spans="1:13">
      <c r="A20" s="1" t="s">
        <v>7</v>
      </c>
      <c r="B20" s="1" t="s">
        <v>43</v>
      </c>
      <c r="C20" s="2">
        <v>0.14276620370370371</v>
      </c>
      <c r="D20" s="2">
        <v>0.14280092592592591</v>
      </c>
      <c r="E20" s="1" t="s">
        <v>9</v>
      </c>
      <c r="F20" s="1" t="s">
        <v>42</v>
      </c>
      <c r="G20" s="1">
        <v>0.55510000000000004</v>
      </c>
      <c r="K20" s="1"/>
      <c r="L20" s="1"/>
      <c r="M20" s="2"/>
    </row>
    <row r="21" spans="1:13">
      <c r="A21" s="1" t="s">
        <v>7</v>
      </c>
      <c r="B21" s="1" t="s">
        <v>44</v>
      </c>
      <c r="C21" s="2">
        <v>0.14281250000000001</v>
      </c>
      <c r="D21" s="2">
        <v>0.1428587962962963</v>
      </c>
      <c r="E21" s="1" t="s">
        <v>9</v>
      </c>
      <c r="F21" s="1" t="s">
        <v>45</v>
      </c>
      <c r="G21" s="1">
        <v>0.59130000000000005</v>
      </c>
      <c r="K21" s="1"/>
      <c r="L21" s="1"/>
      <c r="M21" s="2"/>
    </row>
    <row r="22" spans="1:13">
      <c r="A22" s="1" t="s">
        <v>7</v>
      </c>
      <c r="B22" s="1" t="s">
        <v>46</v>
      </c>
      <c r="C22" s="2">
        <v>0.14320601851851852</v>
      </c>
      <c r="D22" s="2">
        <v>0.14324074074074075</v>
      </c>
      <c r="E22" s="1" t="s">
        <v>9</v>
      </c>
      <c r="F22" s="1" t="s">
        <v>47</v>
      </c>
      <c r="G22" s="1">
        <v>0.26579999999999998</v>
      </c>
      <c r="K22" s="1"/>
      <c r="L22" s="1"/>
      <c r="M22" s="2"/>
    </row>
    <row r="23" spans="1:13">
      <c r="A23" s="1" t="s">
        <v>7</v>
      </c>
      <c r="B23" s="1" t="s">
        <v>48</v>
      </c>
      <c r="C23" s="2">
        <v>0.14603009259259259</v>
      </c>
      <c r="D23" s="2">
        <v>0.14609953703703704</v>
      </c>
      <c r="E23" s="1" t="s">
        <v>9</v>
      </c>
      <c r="F23" s="1" t="s">
        <v>49</v>
      </c>
      <c r="G23" s="1">
        <v>0.4516</v>
      </c>
      <c r="K23" s="1"/>
      <c r="L23" s="1"/>
      <c r="M23" s="2"/>
    </row>
    <row r="24" spans="1:13">
      <c r="A24" s="1" t="s">
        <v>7</v>
      </c>
      <c r="B24" s="1" t="s">
        <v>50</v>
      </c>
      <c r="C24" s="2">
        <v>0.14663194444444444</v>
      </c>
      <c r="D24" s="2">
        <v>0.14677083333333332</v>
      </c>
      <c r="E24" s="1" t="s">
        <v>9</v>
      </c>
      <c r="F24" s="1" t="s">
        <v>51</v>
      </c>
      <c r="G24" s="1">
        <v>0.40679999999999999</v>
      </c>
    </row>
    <row r="25" spans="1:13">
      <c r="A25" s="1" t="s">
        <v>7</v>
      </c>
      <c r="B25" s="1" t="s">
        <v>52</v>
      </c>
      <c r="C25" s="2">
        <v>0.14686342592592594</v>
      </c>
      <c r="D25" s="2">
        <v>0.14696759259259259</v>
      </c>
      <c r="E25" s="1" t="s">
        <v>9</v>
      </c>
      <c r="F25" s="1" t="s">
        <v>53</v>
      </c>
      <c r="G25" s="1">
        <v>0.4975</v>
      </c>
    </row>
    <row r="26" spans="1:13">
      <c r="A26" s="1" t="s">
        <v>7</v>
      </c>
      <c r="B26" s="1" t="s">
        <v>54</v>
      </c>
      <c r="C26" s="2">
        <v>0.14699074074074073</v>
      </c>
      <c r="D26" s="2">
        <v>0.14701388888888889</v>
      </c>
      <c r="E26" s="1" t="s">
        <v>9</v>
      </c>
      <c r="F26" s="1" t="s">
        <v>55</v>
      </c>
      <c r="G26" s="1">
        <v>0.39269999999999999</v>
      </c>
    </row>
    <row r="27" spans="1:13">
      <c r="A27" s="1" t="s">
        <v>7</v>
      </c>
      <c r="B27" s="1" t="s">
        <v>56</v>
      </c>
      <c r="C27" s="2">
        <v>0.14708333333333334</v>
      </c>
      <c r="D27" s="2">
        <v>0.14715277777777777</v>
      </c>
      <c r="E27" s="1" t="s">
        <v>9</v>
      </c>
      <c r="F27" s="1" t="s">
        <v>55</v>
      </c>
      <c r="G27" s="1">
        <v>0.44490000000000002</v>
      </c>
    </row>
    <row r="28" spans="1:13">
      <c r="A28" s="1" t="s">
        <v>7</v>
      </c>
      <c r="B28" s="1" t="s">
        <v>57</v>
      </c>
      <c r="C28" s="2">
        <v>0.14754629629629629</v>
      </c>
      <c r="D28" s="2">
        <v>0.14765046296296297</v>
      </c>
      <c r="E28" s="1" t="s">
        <v>9</v>
      </c>
      <c r="F28" s="1" t="s">
        <v>58</v>
      </c>
      <c r="G28" s="1">
        <v>0.41770000000000002</v>
      </c>
    </row>
    <row r="29" spans="1:13">
      <c r="A29" s="1" t="s">
        <v>7</v>
      </c>
      <c r="B29" s="1" t="s">
        <v>59</v>
      </c>
      <c r="C29" s="2">
        <v>0.14769675925925926</v>
      </c>
      <c r="D29" s="2">
        <v>0.14773148148148149</v>
      </c>
      <c r="E29" s="1" t="s">
        <v>9</v>
      </c>
      <c r="F29" s="1" t="s">
        <v>58</v>
      </c>
      <c r="G29" s="1">
        <v>0.35389999999999999</v>
      </c>
    </row>
    <row r="30" spans="1:13">
      <c r="A30" s="1" t="s">
        <v>7</v>
      </c>
      <c r="B30" s="1" t="s">
        <v>60</v>
      </c>
      <c r="C30" s="2">
        <v>0.14773148148148149</v>
      </c>
      <c r="D30" s="2">
        <v>0.14785879629629631</v>
      </c>
      <c r="E30" s="1" t="s">
        <v>9</v>
      </c>
      <c r="F30" s="1" t="s">
        <v>61</v>
      </c>
      <c r="G30" s="1">
        <v>0.42559999999999998</v>
      </c>
    </row>
    <row r="31" spans="1:13">
      <c r="A31" s="1" t="s">
        <v>7</v>
      </c>
      <c r="B31" s="1" t="s">
        <v>62</v>
      </c>
      <c r="C31" s="2">
        <v>0.14796296296296296</v>
      </c>
      <c r="D31" s="2">
        <v>0.14814814814814814</v>
      </c>
      <c r="E31" s="1" t="s">
        <v>9</v>
      </c>
      <c r="F31" s="1" t="s">
        <v>61</v>
      </c>
      <c r="G31" s="1">
        <v>0.47839999999999999</v>
      </c>
    </row>
    <row r="32" spans="1:13">
      <c r="A32" s="1" t="s">
        <v>7</v>
      </c>
      <c r="B32" s="1" t="s">
        <v>63</v>
      </c>
      <c r="C32" s="2">
        <v>0.15075231481481483</v>
      </c>
      <c r="D32" s="2">
        <v>0.15084490740740741</v>
      </c>
      <c r="E32" s="1" t="s">
        <v>9</v>
      </c>
      <c r="F32" s="1" t="s">
        <v>64</v>
      </c>
      <c r="G32" s="1">
        <v>0.34050000000000002</v>
      </c>
    </row>
    <row r="33" spans="1:7">
      <c r="A33" s="1" t="s">
        <v>7</v>
      </c>
      <c r="B33" s="1" t="s">
        <v>65</v>
      </c>
      <c r="C33" s="2">
        <v>0.1509837962962963</v>
      </c>
      <c r="D33" s="2">
        <v>0.15104166666666666</v>
      </c>
      <c r="E33" s="1" t="s">
        <v>9</v>
      </c>
      <c r="F33" s="1" t="s">
        <v>66</v>
      </c>
      <c r="G33" s="1">
        <v>0.3997</v>
      </c>
    </row>
    <row r="34" spans="1:7">
      <c r="A34" s="1" t="s">
        <v>7</v>
      </c>
      <c r="B34" s="1" t="s">
        <v>67</v>
      </c>
      <c r="C34" s="2">
        <v>0.15111111111111111</v>
      </c>
      <c r="D34" s="2">
        <v>0.15119212962962963</v>
      </c>
      <c r="E34" s="1" t="s">
        <v>9</v>
      </c>
      <c r="F34" s="1" t="s">
        <v>66</v>
      </c>
      <c r="G34" s="1">
        <v>0.39300000000000002</v>
      </c>
    </row>
    <row r="35" spans="1:7">
      <c r="A35" s="1" t="s">
        <v>7</v>
      </c>
      <c r="B35" s="1" t="s">
        <v>68</v>
      </c>
      <c r="C35" s="2">
        <v>0.15135416666666668</v>
      </c>
      <c r="D35" s="2">
        <v>0.15141203703703704</v>
      </c>
      <c r="E35" s="1" t="s">
        <v>9</v>
      </c>
      <c r="F35" s="1" t="s">
        <v>69</v>
      </c>
      <c r="G35" s="1">
        <v>0.3805</v>
      </c>
    </row>
    <row r="36" spans="1:7">
      <c r="A36" s="1" t="s">
        <v>7</v>
      </c>
      <c r="B36" s="1" t="s">
        <v>70</v>
      </c>
      <c r="C36" s="2">
        <v>0.1514699074074074</v>
      </c>
      <c r="D36" s="2">
        <v>0.15150462962962963</v>
      </c>
      <c r="E36" s="1" t="s">
        <v>9</v>
      </c>
      <c r="F36" s="1" t="s">
        <v>69</v>
      </c>
      <c r="G36" s="1">
        <v>0.52300000000000002</v>
      </c>
    </row>
    <row r="37" spans="1:7">
      <c r="A37" s="1" t="s">
        <v>7</v>
      </c>
      <c r="B37" s="1" t="s">
        <v>71</v>
      </c>
      <c r="C37" s="2">
        <v>0.15164351851851851</v>
      </c>
      <c r="D37" s="2">
        <v>0.15168981481481481</v>
      </c>
      <c r="E37" s="1" t="s">
        <v>9</v>
      </c>
      <c r="F37" s="1" t="s">
        <v>69</v>
      </c>
      <c r="G37" s="1">
        <v>0.41470000000000001</v>
      </c>
    </row>
    <row r="38" spans="1:7">
      <c r="A38" s="1" t="s">
        <v>7</v>
      </c>
      <c r="B38" s="1" t="s">
        <v>72</v>
      </c>
      <c r="C38" s="2">
        <v>0.15180555555555555</v>
      </c>
      <c r="D38" s="2">
        <v>0.15194444444444444</v>
      </c>
      <c r="E38" s="1" t="s">
        <v>9</v>
      </c>
      <c r="F38" s="1" t="s">
        <v>73</v>
      </c>
      <c r="G38" s="1">
        <v>0.44290000000000002</v>
      </c>
    </row>
    <row r="39" spans="1:7">
      <c r="A39" s="1" t="s">
        <v>7</v>
      </c>
      <c r="B39" s="1" t="s">
        <v>74</v>
      </c>
      <c r="C39" s="2">
        <v>0.15212962962962964</v>
      </c>
      <c r="D39" s="2">
        <v>0.15219907407407407</v>
      </c>
      <c r="E39" s="1" t="s">
        <v>9</v>
      </c>
      <c r="F39" s="1" t="s">
        <v>75</v>
      </c>
      <c r="G39" s="1">
        <v>0.39119999999999999</v>
      </c>
    </row>
    <row r="40" spans="1:7">
      <c r="A40" s="1" t="s">
        <v>7</v>
      </c>
      <c r="B40" s="1" t="s">
        <v>76</v>
      </c>
      <c r="C40" s="2">
        <v>0.15226851851851853</v>
      </c>
      <c r="D40" s="2">
        <v>0.15231481481481482</v>
      </c>
      <c r="E40" s="1" t="s">
        <v>9</v>
      </c>
      <c r="F40" s="1" t="s">
        <v>75</v>
      </c>
      <c r="G40" s="1">
        <v>0.53220000000000001</v>
      </c>
    </row>
    <row r="41" spans="1:7">
      <c r="A41" s="1" t="s">
        <v>7</v>
      </c>
      <c r="B41" s="1" t="s">
        <v>77</v>
      </c>
      <c r="C41" s="2">
        <v>0.15243055555555557</v>
      </c>
      <c r="D41" s="2">
        <v>0.15274305555555556</v>
      </c>
      <c r="E41" s="1" t="s">
        <v>9</v>
      </c>
      <c r="F41" s="1" t="s">
        <v>75</v>
      </c>
      <c r="G41" s="1">
        <v>0.37630000000000002</v>
      </c>
    </row>
    <row r="42" spans="1:7">
      <c r="A42" s="1" t="s">
        <v>7</v>
      </c>
      <c r="B42" s="1" t="s">
        <v>78</v>
      </c>
      <c r="C42" s="2">
        <v>0.15274305555555556</v>
      </c>
      <c r="D42" s="2">
        <v>0.15285879629629628</v>
      </c>
      <c r="E42" s="1" t="s">
        <v>9</v>
      </c>
      <c r="F42" s="1" t="s">
        <v>79</v>
      </c>
      <c r="G42" s="1">
        <v>0.38629999999999998</v>
      </c>
    </row>
    <row r="43" spans="1:7">
      <c r="A43" s="1" t="s">
        <v>7</v>
      </c>
      <c r="B43" s="1" t="s">
        <v>80</v>
      </c>
      <c r="C43" s="2">
        <v>0.15456018518518519</v>
      </c>
      <c r="D43" s="2">
        <v>0.15462962962962962</v>
      </c>
      <c r="E43" s="1" t="s">
        <v>9</v>
      </c>
      <c r="F43" s="1" t="s">
        <v>81</v>
      </c>
      <c r="G43" s="1">
        <v>0.29809999999999998</v>
      </c>
    </row>
    <row r="44" spans="1:7">
      <c r="A44" s="1" t="s">
        <v>7</v>
      </c>
      <c r="B44" s="1" t="s">
        <v>82</v>
      </c>
      <c r="C44" s="2">
        <v>0.15697916666666667</v>
      </c>
      <c r="D44" s="2">
        <v>0.15706018518518519</v>
      </c>
      <c r="E44" s="1" t="s">
        <v>9</v>
      </c>
      <c r="F44" s="1" t="s">
        <v>83</v>
      </c>
      <c r="G44" s="1">
        <v>0.40679999999999999</v>
      </c>
    </row>
    <row r="45" spans="1:7">
      <c r="A45" s="1" t="s">
        <v>7</v>
      </c>
      <c r="B45" s="1" t="s">
        <v>84</v>
      </c>
      <c r="C45" s="2">
        <v>0.15712962962962962</v>
      </c>
      <c r="D45" s="2">
        <v>0.15715277777777778</v>
      </c>
      <c r="E45" s="1" t="s">
        <v>9</v>
      </c>
      <c r="F45" s="1" t="s">
        <v>83</v>
      </c>
      <c r="G45" s="1">
        <v>0.2417</v>
      </c>
    </row>
    <row r="46" spans="1:7">
      <c r="A46" s="1" t="s">
        <v>7</v>
      </c>
      <c r="B46" s="1" t="s">
        <v>85</v>
      </c>
      <c r="C46" s="2">
        <v>0.15736111111111112</v>
      </c>
      <c r="D46" s="2">
        <v>0.15745370370370371</v>
      </c>
      <c r="E46" s="1" t="s">
        <v>9</v>
      </c>
      <c r="F46" s="1" t="s">
        <v>86</v>
      </c>
      <c r="G46" s="1">
        <v>0.44850000000000001</v>
      </c>
    </row>
    <row r="47" spans="1:7">
      <c r="A47" s="1" t="s">
        <v>7</v>
      </c>
      <c r="B47" s="1" t="s">
        <v>87</v>
      </c>
      <c r="C47" s="2">
        <v>0.15745370370370371</v>
      </c>
      <c r="D47" s="2">
        <v>0.15752314814814813</v>
      </c>
      <c r="E47" s="1" t="s">
        <v>9</v>
      </c>
      <c r="F47" s="1" t="s">
        <v>88</v>
      </c>
      <c r="G47" s="1">
        <v>0.50970000000000004</v>
      </c>
    </row>
    <row r="48" spans="1:7">
      <c r="A48" s="1" t="s">
        <v>7</v>
      </c>
      <c r="B48" s="1" t="s">
        <v>89</v>
      </c>
      <c r="C48" s="2">
        <v>0.15956018518518519</v>
      </c>
      <c r="D48" s="2">
        <v>0.15959490740740739</v>
      </c>
      <c r="E48" s="1" t="s">
        <v>9</v>
      </c>
      <c r="F48" s="1" t="s">
        <v>90</v>
      </c>
      <c r="G48" s="1">
        <v>0.30869999999999997</v>
      </c>
    </row>
    <row r="49" spans="1:7">
      <c r="A49" s="1" t="s">
        <v>7</v>
      </c>
      <c r="B49" s="1" t="s">
        <v>91</v>
      </c>
      <c r="C49" s="2">
        <v>0.16210648148148149</v>
      </c>
      <c r="D49" s="2">
        <v>0.16214120370370369</v>
      </c>
      <c r="E49" s="1" t="s">
        <v>9</v>
      </c>
      <c r="F49" s="1" t="s">
        <v>92</v>
      </c>
      <c r="G49" s="1">
        <v>0.18940000000000001</v>
      </c>
    </row>
    <row r="50" spans="1:7">
      <c r="A50" s="1" t="s">
        <v>7</v>
      </c>
      <c r="B50" s="1" t="s">
        <v>93</v>
      </c>
      <c r="C50" s="2">
        <v>0.16219907407407408</v>
      </c>
      <c r="D50" s="2">
        <v>0.16226851851851851</v>
      </c>
      <c r="E50" s="1" t="s">
        <v>9</v>
      </c>
      <c r="F50" s="1" t="s">
        <v>92</v>
      </c>
      <c r="G50" s="1">
        <v>0.43769999999999998</v>
      </c>
    </row>
    <row r="51" spans="1:7">
      <c r="A51" s="1" t="s">
        <v>7</v>
      </c>
      <c r="B51" s="1" t="s">
        <v>94</v>
      </c>
      <c r="C51" s="2">
        <v>0.16231481481481483</v>
      </c>
      <c r="D51" s="2">
        <v>0.16234953703703703</v>
      </c>
      <c r="E51" s="1" t="s">
        <v>9</v>
      </c>
      <c r="F51" s="1" t="s">
        <v>95</v>
      </c>
      <c r="G51" s="1">
        <v>0.23899999999999999</v>
      </c>
    </row>
    <row r="52" spans="1:7">
      <c r="A52" s="1" t="s">
        <v>7</v>
      </c>
      <c r="B52" s="1" t="s">
        <v>96</v>
      </c>
      <c r="C52" s="2">
        <v>0.16245370370370371</v>
      </c>
      <c r="D52" s="2">
        <v>0.1625462962962963</v>
      </c>
      <c r="E52" s="1" t="s">
        <v>9</v>
      </c>
      <c r="F52" s="1" t="s">
        <v>97</v>
      </c>
      <c r="G52" s="1">
        <v>0.53159999999999996</v>
      </c>
    </row>
    <row r="53" spans="1:7">
      <c r="A53" s="1" t="s">
        <v>7</v>
      </c>
      <c r="B53" s="1" t="s">
        <v>98</v>
      </c>
      <c r="C53" s="2">
        <v>0.16258101851851853</v>
      </c>
      <c r="D53" s="2">
        <v>0.16260416666666666</v>
      </c>
      <c r="E53" s="1" t="s">
        <v>9</v>
      </c>
      <c r="F53" s="1" t="s">
        <v>99</v>
      </c>
      <c r="G53" s="1">
        <v>0.21340000000000001</v>
      </c>
    </row>
    <row r="54" spans="1:7">
      <c r="A54" s="1" t="s">
        <v>7</v>
      </c>
      <c r="B54" s="1" t="s">
        <v>100</v>
      </c>
      <c r="C54" s="2">
        <v>0.16267361111111112</v>
      </c>
      <c r="D54" s="2">
        <v>0.16271990740740741</v>
      </c>
      <c r="E54" s="1" t="s">
        <v>9</v>
      </c>
      <c r="F54" s="1" t="s">
        <v>99</v>
      </c>
      <c r="G54" s="1">
        <v>0.22189999999999999</v>
      </c>
    </row>
    <row r="55" spans="1:7">
      <c r="A55" s="1" t="s">
        <v>7</v>
      </c>
      <c r="B55" s="1" t="s">
        <v>101</v>
      </c>
      <c r="C55" s="2">
        <v>0.16288194444444445</v>
      </c>
      <c r="D55" s="2">
        <v>0.16291666666666665</v>
      </c>
      <c r="E55" s="1" t="s">
        <v>9</v>
      </c>
      <c r="F55" s="1" t="s">
        <v>102</v>
      </c>
      <c r="G55" s="1">
        <v>0.2631</v>
      </c>
    </row>
    <row r="56" spans="1:7">
      <c r="A56" s="1" t="s">
        <v>7</v>
      </c>
      <c r="B56" s="1" t="s">
        <v>103</v>
      </c>
      <c r="C56" s="2">
        <v>0.16300925925925927</v>
      </c>
      <c r="D56" s="2">
        <v>0.16310185185185186</v>
      </c>
      <c r="E56" s="1" t="s">
        <v>9</v>
      </c>
      <c r="F56" s="1" t="s">
        <v>102</v>
      </c>
      <c r="G56" s="1">
        <v>0.36890000000000001</v>
      </c>
    </row>
    <row r="57" spans="1:7">
      <c r="A57" s="1" t="s">
        <v>7</v>
      </c>
      <c r="B57" s="1" t="s">
        <v>104</v>
      </c>
      <c r="C57" s="2">
        <v>0.16335648148148149</v>
      </c>
      <c r="D57" s="2">
        <v>0.16340277777777779</v>
      </c>
      <c r="E57" s="1" t="s">
        <v>9</v>
      </c>
      <c r="F57" s="1" t="s">
        <v>105</v>
      </c>
      <c r="G57" s="1">
        <v>0.52200000000000002</v>
      </c>
    </row>
    <row r="58" spans="1:7">
      <c r="A58" s="1" t="s">
        <v>7</v>
      </c>
      <c r="B58" s="1" t="s">
        <v>106</v>
      </c>
      <c r="C58" s="2">
        <v>0.1635763888888889</v>
      </c>
      <c r="D58" s="2">
        <v>0.16359953703703703</v>
      </c>
      <c r="E58" s="1" t="s">
        <v>9</v>
      </c>
      <c r="F58" s="1" t="s">
        <v>107</v>
      </c>
      <c r="G58" s="1">
        <v>0.48899999999999999</v>
      </c>
    </row>
    <row r="59" spans="1:7">
      <c r="A59" s="1" t="s">
        <v>7</v>
      </c>
      <c r="B59" s="1" t="s">
        <v>108</v>
      </c>
      <c r="C59" s="2">
        <v>0.16405092592592593</v>
      </c>
      <c r="D59" s="2">
        <v>0.16422453703703704</v>
      </c>
      <c r="E59" s="1" t="s">
        <v>9</v>
      </c>
      <c r="F59" s="1" t="s">
        <v>109</v>
      </c>
      <c r="G59" s="1">
        <v>0.44019999999999998</v>
      </c>
    </row>
    <row r="60" spans="1:7">
      <c r="A60" s="1" t="s">
        <v>7</v>
      </c>
      <c r="B60" s="1" t="s">
        <v>110</v>
      </c>
      <c r="C60" s="2">
        <v>0.16434027777777777</v>
      </c>
      <c r="D60" s="2">
        <v>0.16437499999999999</v>
      </c>
      <c r="E60" s="1" t="s">
        <v>9</v>
      </c>
      <c r="F60" s="1" t="s">
        <v>109</v>
      </c>
      <c r="G60" s="1">
        <v>0.24479999999999999</v>
      </c>
    </row>
    <row r="61" spans="1:7">
      <c r="A61" s="1" t="s">
        <v>7</v>
      </c>
      <c r="B61" s="1" t="s">
        <v>111</v>
      </c>
      <c r="C61" s="2">
        <v>0.16447916666666668</v>
      </c>
      <c r="D61" s="2">
        <v>0.16452546296296297</v>
      </c>
      <c r="E61" s="1" t="s">
        <v>9</v>
      </c>
      <c r="F61" s="1" t="s">
        <v>109</v>
      </c>
      <c r="G61" s="1">
        <v>0.46650000000000003</v>
      </c>
    </row>
    <row r="62" spans="1:7">
      <c r="A62" s="1" t="s">
        <v>7</v>
      </c>
      <c r="B62" s="1" t="s">
        <v>112</v>
      </c>
      <c r="C62" s="2">
        <v>0.16464120370370369</v>
      </c>
      <c r="D62" s="2">
        <v>0.16480324074074074</v>
      </c>
      <c r="E62" s="1" t="s">
        <v>9</v>
      </c>
      <c r="F62" s="1" t="s">
        <v>113</v>
      </c>
      <c r="G62" s="1">
        <v>0.41360000000000002</v>
      </c>
    </row>
    <row r="63" spans="1:7">
      <c r="A63" s="1" t="s">
        <v>7</v>
      </c>
      <c r="B63" s="1" t="s">
        <v>114</v>
      </c>
      <c r="C63" s="2">
        <v>0.16498842592592591</v>
      </c>
      <c r="D63" s="2">
        <v>0.16503472222222224</v>
      </c>
      <c r="E63" s="1" t="s">
        <v>9</v>
      </c>
      <c r="F63" s="1" t="s">
        <v>115</v>
      </c>
      <c r="G63" s="1">
        <v>0.2329</v>
      </c>
    </row>
    <row r="64" spans="1:7">
      <c r="A64" s="1" t="s">
        <v>7</v>
      </c>
      <c r="B64" s="1" t="s">
        <v>116</v>
      </c>
      <c r="C64" s="2">
        <v>0.16513888888888889</v>
      </c>
      <c r="D64" s="2">
        <v>0.16537037037037036</v>
      </c>
      <c r="E64" s="1" t="s">
        <v>9</v>
      </c>
      <c r="F64" s="1" t="s">
        <v>115</v>
      </c>
      <c r="G64" s="1">
        <v>0.42099999999999999</v>
      </c>
    </row>
    <row r="65" spans="1:7">
      <c r="A65" s="1" t="s">
        <v>7</v>
      </c>
      <c r="B65" s="1" t="s">
        <v>117</v>
      </c>
      <c r="C65" s="2">
        <v>0.16561342592592593</v>
      </c>
      <c r="D65" s="2">
        <v>0.16571759259259258</v>
      </c>
      <c r="E65" s="1" t="s">
        <v>9</v>
      </c>
      <c r="F65" s="1" t="s">
        <v>118</v>
      </c>
      <c r="G65" s="1">
        <v>0.499</v>
      </c>
    </row>
    <row r="66" spans="1:7">
      <c r="A66" s="1" t="s">
        <v>7</v>
      </c>
      <c r="B66" s="1" t="s">
        <v>119</v>
      </c>
      <c r="C66" s="2">
        <v>0.16596064814814815</v>
      </c>
      <c r="D66" s="2">
        <v>0.16599537037037038</v>
      </c>
      <c r="E66" s="1" t="s">
        <v>9</v>
      </c>
      <c r="F66" s="1" t="s">
        <v>120</v>
      </c>
      <c r="G66" s="1">
        <v>0.34110000000000001</v>
      </c>
    </row>
    <row r="67" spans="1:7">
      <c r="A67" s="1" t="s">
        <v>7</v>
      </c>
      <c r="B67" s="1" t="s">
        <v>121</v>
      </c>
      <c r="C67" s="2">
        <v>0.16631944444444444</v>
      </c>
      <c r="D67" s="2">
        <v>0.16645833333333335</v>
      </c>
      <c r="E67" s="1" t="s">
        <v>9</v>
      </c>
      <c r="F67" s="1" t="s">
        <v>120</v>
      </c>
      <c r="G67" s="1">
        <v>0.45569999999999999</v>
      </c>
    </row>
    <row r="68" spans="1:7">
      <c r="A68" s="1" t="s">
        <v>7</v>
      </c>
      <c r="B68" s="1" t="s">
        <v>122</v>
      </c>
      <c r="C68" s="2">
        <v>0.16651620370370371</v>
      </c>
      <c r="D68" s="2">
        <v>0.16674768518518518</v>
      </c>
      <c r="E68" s="1" t="s">
        <v>9</v>
      </c>
      <c r="F68" s="1" t="s">
        <v>123</v>
      </c>
      <c r="G68" s="1">
        <v>0.47120000000000001</v>
      </c>
    </row>
    <row r="69" spans="1:7">
      <c r="A69" s="1" t="s">
        <v>7</v>
      </c>
      <c r="B69" s="1" t="s">
        <v>124</v>
      </c>
      <c r="C69" s="2">
        <v>0.16686342592592593</v>
      </c>
      <c r="D69" s="2">
        <v>0.16703703703703704</v>
      </c>
      <c r="E69" s="1" t="s">
        <v>9</v>
      </c>
      <c r="F69" s="1" t="s">
        <v>125</v>
      </c>
      <c r="G69" s="1">
        <v>0.38100000000000001</v>
      </c>
    </row>
    <row r="70" spans="1:7">
      <c r="A70" s="1" t="s">
        <v>7</v>
      </c>
      <c r="B70" s="1" t="s">
        <v>126</v>
      </c>
      <c r="C70" s="2">
        <v>0.16784722222222223</v>
      </c>
      <c r="D70" s="2">
        <v>0.16798611111111111</v>
      </c>
      <c r="E70" s="1" t="s">
        <v>9</v>
      </c>
      <c r="F70" s="1" t="s">
        <v>127</v>
      </c>
      <c r="G70" s="1">
        <v>0.45789999999999997</v>
      </c>
    </row>
    <row r="71" spans="1:7">
      <c r="A71" s="1" t="s">
        <v>7</v>
      </c>
      <c r="B71" s="1" t="s">
        <v>128</v>
      </c>
      <c r="C71" s="2">
        <v>0.16842592592592592</v>
      </c>
      <c r="D71" s="2">
        <v>0.16849537037037038</v>
      </c>
      <c r="E71" s="1" t="s">
        <v>9</v>
      </c>
      <c r="F71" s="1" t="s">
        <v>129</v>
      </c>
      <c r="G71" s="1">
        <v>0.40360000000000001</v>
      </c>
    </row>
    <row r="72" spans="1:7">
      <c r="A72" s="1" t="s">
        <v>7</v>
      </c>
      <c r="B72" s="1" t="s">
        <v>130</v>
      </c>
      <c r="C72" s="2">
        <v>0.16849537037037038</v>
      </c>
      <c r="D72" s="2">
        <v>0.16862268518518519</v>
      </c>
      <c r="E72" s="1" t="s">
        <v>9</v>
      </c>
      <c r="F72" s="1" t="s">
        <v>131</v>
      </c>
      <c r="G72" s="1">
        <v>0.43419999999999997</v>
      </c>
    </row>
    <row r="73" spans="1:7">
      <c r="A73" s="1" t="s">
        <v>7</v>
      </c>
      <c r="B73" s="1" t="s">
        <v>132</v>
      </c>
      <c r="C73" s="2">
        <v>0.16865740740740739</v>
      </c>
      <c r="D73" s="2">
        <v>0.16876157407407408</v>
      </c>
      <c r="E73" s="1" t="s">
        <v>9</v>
      </c>
      <c r="F73" s="1" t="s">
        <v>131</v>
      </c>
      <c r="G73" s="1">
        <v>0.44629999999999997</v>
      </c>
    </row>
    <row r="74" spans="1:7">
      <c r="A74" s="1" t="s">
        <v>7</v>
      </c>
      <c r="B74" s="1" t="s">
        <v>133</v>
      </c>
      <c r="C74" s="2">
        <v>0.16961805555555556</v>
      </c>
      <c r="D74" s="2">
        <v>0.16978009259259258</v>
      </c>
      <c r="E74" s="1" t="s">
        <v>9</v>
      </c>
      <c r="F74" s="1" t="s">
        <v>134</v>
      </c>
      <c r="G74" s="1">
        <v>0.49009999999999998</v>
      </c>
    </row>
    <row r="75" spans="1:7">
      <c r="A75" s="1" t="s">
        <v>7</v>
      </c>
      <c r="B75" s="1" t="s">
        <v>135</v>
      </c>
      <c r="C75" s="2">
        <v>0.17018518518518519</v>
      </c>
      <c r="D75" s="2">
        <v>0.17023148148148148</v>
      </c>
      <c r="E75" s="1" t="s">
        <v>9</v>
      </c>
      <c r="F75" s="1" t="s">
        <v>134</v>
      </c>
      <c r="G75" s="1">
        <v>0.33329999999999999</v>
      </c>
    </row>
    <row r="76" spans="1:7">
      <c r="A76" s="1" t="s">
        <v>7</v>
      </c>
      <c r="B76" s="1" t="s">
        <v>136</v>
      </c>
      <c r="C76" s="2">
        <v>0.17038194444444443</v>
      </c>
      <c r="D76" s="2">
        <v>0.17063657407407407</v>
      </c>
      <c r="E76" s="1" t="s">
        <v>9</v>
      </c>
      <c r="F76" s="1" t="s">
        <v>134</v>
      </c>
      <c r="G76" s="1">
        <v>0.441</v>
      </c>
    </row>
    <row r="77" spans="1:7">
      <c r="A77" s="1" t="s">
        <v>7</v>
      </c>
      <c r="B77" s="1" t="s">
        <v>137</v>
      </c>
      <c r="C77" s="2">
        <v>0.17145833333333332</v>
      </c>
      <c r="D77" s="2">
        <v>0.17155092592592591</v>
      </c>
      <c r="E77" s="1" t="s">
        <v>9</v>
      </c>
      <c r="F77" s="1" t="s">
        <v>138</v>
      </c>
      <c r="G77" s="1">
        <v>0.30399999999999999</v>
      </c>
    </row>
    <row r="78" spans="1:7">
      <c r="A78" s="1" t="s">
        <v>7</v>
      </c>
      <c r="B78" s="1" t="s">
        <v>139</v>
      </c>
      <c r="C78" s="2">
        <v>0.1716087962962963</v>
      </c>
      <c r="D78" s="2">
        <v>0.17163194444444443</v>
      </c>
      <c r="E78" s="1" t="s">
        <v>9</v>
      </c>
      <c r="F78" s="1" t="s">
        <v>138</v>
      </c>
      <c r="G78" s="1">
        <v>0.1515</v>
      </c>
    </row>
    <row r="79" spans="1:7">
      <c r="A79" s="1" t="s">
        <v>7</v>
      </c>
      <c r="B79" s="1" t="s">
        <v>140</v>
      </c>
      <c r="C79" s="2">
        <v>0.17186342592592593</v>
      </c>
      <c r="D79" s="2">
        <v>0.17194444444444446</v>
      </c>
      <c r="E79" s="1" t="s">
        <v>9</v>
      </c>
      <c r="F79" s="1" t="s">
        <v>138</v>
      </c>
      <c r="G79" s="1">
        <v>0.40960000000000002</v>
      </c>
    </row>
    <row r="80" spans="1:7">
      <c r="A80" s="1" t="s">
        <v>7</v>
      </c>
      <c r="B80" s="1" t="s">
        <v>141</v>
      </c>
      <c r="C80" s="2">
        <v>0.17282407407407407</v>
      </c>
      <c r="D80" s="2">
        <v>0.1728587962962963</v>
      </c>
      <c r="E80" s="1" t="s">
        <v>9</v>
      </c>
      <c r="F80" s="1" t="s">
        <v>142</v>
      </c>
      <c r="G80" s="1">
        <v>0.34799999999999998</v>
      </c>
    </row>
    <row r="81" spans="1:7">
      <c r="A81" s="1" t="s">
        <v>7</v>
      </c>
      <c r="B81" s="1" t="s">
        <v>143</v>
      </c>
      <c r="C81" s="2">
        <v>0.17318287037037036</v>
      </c>
      <c r="D81" s="2">
        <v>0.1733912037037037</v>
      </c>
      <c r="E81" s="1" t="s">
        <v>9</v>
      </c>
      <c r="F81" s="1" t="s">
        <v>144</v>
      </c>
      <c r="G81" s="1">
        <v>0.48230000000000001</v>
      </c>
    </row>
    <row r="82" spans="1:7">
      <c r="A82" s="1" t="s">
        <v>7</v>
      </c>
      <c r="B82" s="1" t="s">
        <v>145</v>
      </c>
      <c r="C82" s="2">
        <v>0.17379629629629631</v>
      </c>
      <c r="D82" s="2">
        <v>0.1738773148148148</v>
      </c>
      <c r="E82" s="1" t="s">
        <v>9</v>
      </c>
      <c r="F82" s="1" t="s">
        <v>146</v>
      </c>
      <c r="G82" s="1">
        <v>0.33439999999999998</v>
      </c>
    </row>
    <row r="83" spans="1:7">
      <c r="A83" s="1" t="s">
        <v>7</v>
      </c>
      <c r="B83" s="1" t="s">
        <v>147</v>
      </c>
      <c r="C83" s="2">
        <v>0.1738773148148148</v>
      </c>
      <c r="D83" s="2">
        <v>0.17408564814814814</v>
      </c>
      <c r="E83" s="1" t="s">
        <v>9</v>
      </c>
      <c r="F83" s="1" t="s">
        <v>148</v>
      </c>
      <c r="G83" s="1">
        <v>0.41589999999999999</v>
      </c>
    </row>
    <row r="84" spans="1:7">
      <c r="A84" s="1" t="s">
        <v>7</v>
      </c>
      <c r="B84" s="1" t="s">
        <v>149</v>
      </c>
      <c r="C84" s="2">
        <v>0.17840277777777777</v>
      </c>
      <c r="D84" s="2">
        <v>0.17850694444444445</v>
      </c>
      <c r="E84" s="1" t="s">
        <v>9</v>
      </c>
      <c r="F84" s="1" t="s">
        <v>150</v>
      </c>
      <c r="G84" s="1">
        <v>0.41199999999999998</v>
      </c>
    </row>
    <row r="85" spans="1:7">
      <c r="A85" s="1" t="s">
        <v>7</v>
      </c>
      <c r="B85" s="1" t="s">
        <v>151</v>
      </c>
      <c r="C85" s="2">
        <v>0.17966435185185184</v>
      </c>
      <c r="D85" s="2">
        <v>0.17974537037037036</v>
      </c>
      <c r="E85" s="1" t="s">
        <v>9</v>
      </c>
      <c r="F85" s="1" t="s">
        <v>152</v>
      </c>
      <c r="G85" s="1">
        <v>0.39679999999999999</v>
      </c>
    </row>
    <row r="86" spans="1:7">
      <c r="A86" s="1" t="s">
        <v>7</v>
      </c>
      <c r="B86" s="1" t="s">
        <v>153</v>
      </c>
      <c r="C86" s="2">
        <v>0.17988425925925927</v>
      </c>
      <c r="D86" s="2">
        <v>0.17996527777777777</v>
      </c>
      <c r="E86" s="1" t="s">
        <v>9</v>
      </c>
      <c r="F86" s="1" t="s">
        <v>152</v>
      </c>
      <c r="G86" s="1">
        <v>0.42820000000000003</v>
      </c>
    </row>
    <row r="87" spans="1:7">
      <c r="A87" s="1" t="s">
        <v>7</v>
      </c>
      <c r="B87" s="1" t="s">
        <v>154</v>
      </c>
      <c r="C87" s="2">
        <v>0.18013888888888888</v>
      </c>
      <c r="D87" s="2">
        <v>0.1801851851851852</v>
      </c>
      <c r="E87" s="1" t="s">
        <v>9</v>
      </c>
      <c r="F87" s="1" t="s">
        <v>152</v>
      </c>
      <c r="G87" s="1">
        <v>0.43469999999999998</v>
      </c>
    </row>
    <row r="88" spans="1:7">
      <c r="A88" s="1" t="s">
        <v>7</v>
      </c>
      <c r="B88" s="1" t="s">
        <v>155</v>
      </c>
      <c r="C88" s="2">
        <v>0.18020833333333333</v>
      </c>
      <c r="D88" s="2">
        <v>0.18033564814814815</v>
      </c>
      <c r="E88" s="1" t="s">
        <v>9</v>
      </c>
      <c r="F88" s="1" t="s">
        <v>152</v>
      </c>
      <c r="G88" s="1">
        <v>0.52010000000000001</v>
      </c>
    </row>
    <row r="89" spans="1:7">
      <c r="A89" s="1" t="s">
        <v>7</v>
      </c>
      <c r="B89" s="1" t="s">
        <v>156</v>
      </c>
      <c r="C89" s="2">
        <v>0.18034722222222221</v>
      </c>
      <c r="D89" s="2">
        <v>0.18053240740740742</v>
      </c>
      <c r="E89" s="1" t="s">
        <v>9</v>
      </c>
      <c r="F89" s="1" t="s">
        <v>157</v>
      </c>
      <c r="G89" s="1">
        <v>0.45400000000000001</v>
      </c>
    </row>
    <row r="90" spans="1:7">
      <c r="A90" s="1" t="s">
        <v>7</v>
      </c>
      <c r="B90" s="1" t="s">
        <v>158</v>
      </c>
      <c r="C90" s="2">
        <v>0.18253472222222222</v>
      </c>
      <c r="D90" s="2">
        <v>0.18256944444444445</v>
      </c>
      <c r="E90" s="1" t="s">
        <v>9</v>
      </c>
      <c r="F90" s="1" t="s">
        <v>159</v>
      </c>
      <c r="G90" s="1">
        <v>0.191</v>
      </c>
    </row>
    <row r="91" spans="1:7">
      <c r="A91" s="1" t="s">
        <v>7</v>
      </c>
      <c r="B91" s="1" t="s">
        <v>160</v>
      </c>
      <c r="C91" s="2">
        <v>0.18381944444444445</v>
      </c>
      <c r="D91" s="2">
        <v>0.18391203703703704</v>
      </c>
      <c r="E91" s="1" t="s">
        <v>9</v>
      </c>
      <c r="F91" s="1" t="s">
        <v>161</v>
      </c>
      <c r="G91" s="1">
        <v>0.25490000000000002</v>
      </c>
    </row>
    <row r="92" spans="1:7">
      <c r="A92" s="1" t="s">
        <v>7</v>
      </c>
      <c r="B92" s="1" t="s">
        <v>162</v>
      </c>
      <c r="C92" s="2">
        <v>0.1842361111111111</v>
      </c>
      <c r="D92" s="2">
        <v>0.18429398148148149</v>
      </c>
      <c r="E92" s="1" t="s">
        <v>9</v>
      </c>
      <c r="F92" s="1" t="s">
        <v>163</v>
      </c>
      <c r="G92" s="1">
        <v>0.52769999999999995</v>
      </c>
    </row>
    <row r="93" spans="1:7">
      <c r="A93" s="1" t="s">
        <v>7</v>
      </c>
      <c r="B93" s="1" t="s">
        <v>164</v>
      </c>
      <c r="C93" s="2">
        <v>0.18429398148148149</v>
      </c>
      <c r="D93" s="2">
        <v>0.18437500000000001</v>
      </c>
      <c r="E93" s="1" t="s">
        <v>9</v>
      </c>
      <c r="F93" s="1" t="s">
        <v>165</v>
      </c>
      <c r="G93" s="1">
        <v>0.56759999999999999</v>
      </c>
    </row>
    <row r="94" spans="1:7">
      <c r="A94" s="1" t="s">
        <v>7</v>
      </c>
      <c r="B94" s="1" t="s">
        <v>166</v>
      </c>
      <c r="C94" s="2">
        <v>0.18447916666666667</v>
      </c>
      <c r="D94" s="2">
        <v>0.18454861111111112</v>
      </c>
      <c r="E94" s="1" t="s">
        <v>9</v>
      </c>
      <c r="F94" s="1" t="s">
        <v>165</v>
      </c>
      <c r="G94" s="1">
        <v>0.40699999999999997</v>
      </c>
    </row>
    <row r="95" spans="1:7">
      <c r="A95" s="1" t="s">
        <v>7</v>
      </c>
      <c r="B95" s="1" t="s">
        <v>167</v>
      </c>
      <c r="C95" s="2">
        <v>0.18459490740740742</v>
      </c>
      <c r="D95" s="2">
        <v>0.18462962962962962</v>
      </c>
      <c r="E95" s="1" t="s">
        <v>9</v>
      </c>
      <c r="F95" s="1" t="s">
        <v>168</v>
      </c>
      <c r="G95" s="1">
        <v>0.44550000000000001</v>
      </c>
    </row>
    <row r="96" spans="1:7">
      <c r="A96" s="1" t="s">
        <v>7</v>
      </c>
      <c r="B96" s="1" t="s">
        <v>169</v>
      </c>
      <c r="C96" s="2">
        <v>0.18462962962962962</v>
      </c>
      <c r="D96" s="2">
        <v>0.18465277777777778</v>
      </c>
      <c r="E96" s="1" t="s">
        <v>9</v>
      </c>
      <c r="F96" s="1" t="s">
        <v>170</v>
      </c>
      <c r="G96" s="1">
        <v>0.42920000000000003</v>
      </c>
    </row>
    <row r="97" spans="1:7">
      <c r="A97" s="1" t="s">
        <v>7</v>
      </c>
      <c r="B97" s="1" t="s">
        <v>171</v>
      </c>
      <c r="C97" s="2">
        <v>0.18466435185185184</v>
      </c>
      <c r="D97" s="2">
        <v>0.18475694444444443</v>
      </c>
      <c r="E97" s="1" t="s">
        <v>9</v>
      </c>
      <c r="F97" s="1" t="s">
        <v>172</v>
      </c>
      <c r="G97" s="1">
        <v>0.47189999999999999</v>
      </c>
    </row>
    <row r="98" spans="1:7">
      <c r="A98" s="1" t="s">
        <v>7</v>
      </c>
      <c r="B98" s="1" t="s">
        <v>173</v>
      </c>
      <c r="C98" s="2">
        <v>0.18876157407407407</v>
      </c>
      <c r="D98" s="2">
        <v>0.18884259259259259</v>
      </c>
      <c r="E98" s="1" t="s">
        <v>9</v>
      </c>
      <c r="F98" s="1" t="s">
        <v>174</v>
      </c>
      <c r="G98" s="1">
        <v>0.49709999999999999</v>
      </c>
    </row>
    <row r="99" spans="1:7">
      <c r="A99" s="1" t="s">
        <v>7</v>
      </c>
      <c r="B99" s="1" t="s">
        <v>175</v>
      </c>
      <c r="C99" s="2">
        <v>0.18886574074074075</v>
      </c>
      <c r="D99" s="2">
        <v>0.18896990740740741</v>
      </c>
      <c r="E99" s="1" t="s">
        <v>9</v>
      </c>
      <c r="F99" s="1" t="s">
        <v>176</v>
      </c>
      <c r="G99" s="1">
        <v>0.47239999999999999</v>
      </c>
    </row>
    <row r="100" spans="1:7">
      <c r="A100" s="1" t="s">
        <v>7</v>
      </c>
      <c r="B100" s="1" t="s">
        <v>177</v>
      </c>
      <c r="C100" s="2">
        <v>0.18896990740740741</v>
      </c>
      <c r="D100" s="2">
        <v>0.18899305555555557</v>
      </c>
      <c r="E100" s="1" t="s">
        <v>9</v>
      </c>
      <c r="F100" s="1" t="s">
        <v>178</v>
      </c>
      <c r="G100" s="1">
        <v>0.23830000000000001</v>
      </c>
    </row>
    <row r="101" spans="1:7">
      <c r="A101" s="1" t="s">
        <v>7</v>
      </c>
      <c r="B101" s="1" t="s">
        <v>179</v>
      </c>
      <c r="C101" s="2">
        <v>0.18917824074074074</v>
      </c>
      <c r="D101" s="2">
        <v>0.18927083333333333</v>
      </c>
      <c r="E101" s="1" t="s">
        <v>9</v>
      </c>
      <c r="F101" s="1" t="s">
        <v>180</v>
      </c>
      <c r="G101" s="1">
        <v>0.45040000000000002</v>
      </c>
    </row>
    <row r="102" spans="1:7">
      <c r="A102" s="1" t="s">
        <v>7</v>
      </c>
      <c r="B102" s="1" t="s">
        <v>181</v>
      </c>
      <c r="C102" s="2">
        <v>0.18952546296296297</v>
      </c>
      <c r="D102" s="2">
        <v>0.18967592592592591</v>
      </c>
      <c r="E102" s="1" t="s">
        <v>9</v>
      </c>
      <c r="F102" s="1" t="s">
        <v>182</v>
      </c>
      <c r="G102" s="1">
        <v>0.49409999999999998</v>
      </c>
    </row>
    <row r="103" spans="1:7">
      <c r="A103" s="1" t="s">
        <v>7</v>
      </c>
      <c r="B103" s="1" t="s">
        <v>183</v>
      </c>
      <c r="C103" s="2">
        <v>0.19333333333333333</v>
      </c>
      <c r="D103" s="2">
        <v>0.19335648148148149</v>
      </c>
      <c r="E103" s="1" t="s">
        <v>9</v>
      </c>
      <c r="F103" s="1" t="s">
        <v>184</v>
      </c>
      <c r="G103" s="1">
        <v>0.21820000000000001</v>
      </c>
    </row>
    <row r="104" spans="1:7">
      <c r="A104" s="1" t="s">
        <v>7</v>
      </c>
      <c r="B104" s="1" t="s">
        <v>185</v>
      </c>
      <c r="C104" s="2">
        <v>0.19439814814814815</v>
      </c>
      <c r="D104" s="2">
        <v>0.19451388888888888</v>
      </c>
      <c r="E104" s="1" t="s">
        <v>9</v>
      </c>
      <c r="F104" s="1" t="s">
        <v>186</v>
      </c>
      <c r="G104" s="1">
        <v>0.3674</v>
      </c>
    </row>
    <row r="105" spans="1:7">
      <c r="A105" s="1" t="s">
        <v>7</v>
      </c>
      <c r="B105" s="1" t="s">
        <v>187</v>
      </c>
      <c r="C105" s="2">
        <v>0.19457175925925926</v>
      </c>
      <c r="D105" s="2">
        <v>0.19462962962962962</v>
      </c>
      <c r="E105" s="1" t="s">
        <v>9</v>
      </c>
      <c r="F105" s="1" t="s">
        <v>186</v>
      </c>
      <c r="G105" s="1">
        <v>0.59130000000000005</v>
      </c>
    </row>
    <row r="106" spans="1:7">
      <c r="A106" s="1" t="s">
        <v>7</v>
      </c>
      <c r="B106" s="1" t="s">
        <v>188</v>
      </c>
      <c r="C106" s="2">
        <v>0.1948148148148148</v>
      </c>
      <c r="D106" s="2">
        <v>0.19493055555555555</v>
      </c>
      <c r="E106" s="1" t="s">
        <v>9</v>
      </c>
      <c r="F106" s="1" t="s">
        <v>189</v>
      </c>
      <c r="G106" s="1">
        <v>0.3745</v>
      </c>
    </row>
    <row r="107" spans="1:7">
      <c r="A107" s="1" t="s">
        <v>7</v>
      </c>
      <c r="B107" s="1" t="s">
        <v>190</v>
      </c>
      <c r="C107" s="2">
        <v>0.19493055555555555</v>
      </c>
      <c r="D107" s="2">
        <v>0.19500000000000001</v>
      </c>
      <c r="E107" s="1" t="s">
        <v>9</v>
      </c>
      <c r="F107" s="1" t="s">
        <v>191</v>
      </c>
      <c r="G107" s="1">
        <v>0.49120000000000003</v>
      </c>
    </row>
    <row r="108" spans="1:7">
      <c r="A108" s="1" t="s">
        <v>7</v>
      </c>
      <c r="B108" s="1" t="s">
        <v>192</v>
      </c>
      <c r="C108" s="2">
        <v>0.19501157407407407</v>
      </c>
      <c r="D108" s="2">
        <v>0.19512731481481482</v>
      </c>
      <c r="E108" s="1" t="s">
        <v>9</v>
      </c>
      <c r="F108" s="1" t="s">
        <v>191</v>
      </c>
      <c r="G108" s="1">
        <v>0.42499999999999999</v>
      </c>
    </row>
    <row r="109" spans="1:7">
      <c r="A109" s="1" t="s">
        <v>7</v>
      </c>
      <c r="B109" s="1" t="s">
        <v>193</v>
      </c>
      <c r="C109" s="2">
        <v>0.19612268518518519</v>
      </c>
      <c r="D109" s="2">
        <v>0.19616898148148149</v>
      </c>
      <c r="E109" s="1" t="s">
        <v>9</v>
      </c>
      <c r="F109" s="1" t="s">
        <v>194</v>
      </c>
      <c r="G109" s="1">
        <v>6.3299999999999995E-2</v>
      </c>
    </row>
    <row r="110" spans="1:7">
      <c r="A110" s="1" t="s">
        <v>7</v>
      </c>
      <c r="B110" s="1" t="s">
        <v>195</v>
      </c>
      <c r="C110" s="2">
        <v>0.19650462962962964</v>
      </c>
      <c r="D110" s="2">
        <v>0.1966087962962963</v>
      </c>
      <c r="E110" s="1" t="s">
        <v>9</v>
      </c>
      <c r="F110" s="1" t="s">
        <v>196</v>
      </c>
      <c r="G110" s="1">
        <v>0.27229999999999999</v>
      </c>
    </row>
    <row r="111" spans="1:7">
      <c r="A111" s="1" t="s">
        <v>7</v>
      </c>
      <c r="B111" s="1" t="s">
        <v>197</v>
      </c>
      <c r="C111" s="2">
        <v>0.19670138888888888</v>
      </c>
      <c r="D111" s="2">
        <v>0.19678240740740741</v>
      </c>
      <c r="E111" s="1" t="s">
        <v>9</v>
      </c>
      <c r="F111" s="1" t="s">
        <v>196</v>
      </c>
      <c r="G111" s="1">
        <v>0.44290000000000002</v>
      </c>
    </row>
    <row r="112" spans="1:7">
      <c r="A112" s="1" t="s">
        <v>7</v>
      </c>
      <c r="B112" s="1" t="s">
        <v>198</v>
      </c>
      <c r="C112" s="2">
        <v>0.19680555555555557</v>
      </c>
      <c r="D112" s="2">
        <v>0.19684027777777777</v>
      </c>
      <c r="E112" s="1" t="s">
        <v>9</v>
      </c>
      <c r="F112" s="1" t="s">
        <v>199</v>
      </c>
      <c r="G112" s="1">
        <v>0.46800000000000003</v>
      </c>
    </row>
    <row r="113" spans="1:7">
      <c r="A113" s="1" t="s">
        <v>7</v>
      </c>
      <c r="B113" s="1" t="s">
        <v>200</v>
      </c>
      <c r="C113" s="2">
        <v>0.19689814814814816</v>
      </c>
      <c r="D113" s="2">
        <v>0.19701388888888888</v>
      </c>
      <c r="E113" s="1" t="s">
        <v>9</v>
      </c>
      <c r="F113" s="1" t="s">
        <v>201</v>
      </c>
      <c r="G113" s="1">
        <v>0.44740000000000002</v>
      </c>
    </row>
    <row r="114" spans="1:7">
      <c r="A114" s="1" t="s">
        <v>7</v>
      </c>
      <c r="B114" s="1" t="s">
        <v>202</v>
      </c>
      <c r="C114" s="2">
        <v>0.19718749999999999</v>
      </c>
      <c r="D114" s="2">
        <v>0.1973611111111111</v>
      </c>
      <c r="E114" s="1" t="s">
        <v>9</v>
      </c>
      <c r="F114" s="1" t="s">
        <v>201</v>
      </c>
      <c r="G114" s="1">
        <v>0.41170000000000001</v>
      </c>
    </row>
    <row r="115" spans="1:7">
      <c r="A115" s="1" t="s">
        <v>7</v>
      </c>
      <c r="B115" s="1" t="s">
        <v>203</v>
      </c>
      <c r="C115" s="2">
        <v>0.19737268518518519</v>
      </c>
      <c r="D115" s="2">
        <v>0.19743055555555555</v>
      </c>
      <c r="E115" s="1" t="s">
        <v>9</v>
      </c>
      <c r="F115" s="1" t="s">
        <v>204</v>
      </c>
      <c r="G115" s="1">
        <v>0.32850000000000001</v>
      </c>
    </row>
    <row r="116" spans="1:7">
      <c r="A116" s="1" t="s">
        <v>7</v>
      </c>
      <c r="B116" s="1" t="s">
        <v>205</v>
      </c>
      <c r="C116" s="2">
        <v>0.19762731481481483</v>
      </c>
      <c r="D116" s="2">
        <v>0.19768518518518519</v>
      </c>
      <c r="E116" s="1" t="s">
        <v>9</v>
      </c>
      <c r="F116" s="1" t="s">
        <v>204</v>
      </c>
      <c r="G116" s="1">
        <v>0.11550000000000001</v>
      </c>
    </row>
    <row r="117" spans="1:7">
      <c r="A117" s="1" t="s">
        <v>7</v>
      </c>
      <c r="B117" s="1" t="s">
        <v>206</v>
      </c>
      <c r="C117" s="2">
        <v>0.19804398148148147</v>
      </c>
      <c r="D117" s="2">
        <v>0.19806712962962963</v>
      </c>
      <c r="E117" s="1" t="s">
        <v>9</v>
      </c>
      <c r="F117" s="1" t="s">
        <v>207</v>
      </c>
      <c r="G117" s="1">
        <v>0.1313</v>
      </c>
    </row>
    <row r="118" spans="1:7">
      <c r="A118" s="1" t="s">
        <v>7</v>
      </c>
      <c r="B118" s="1" t="s">
        <v>208</v>
      </c>
      <c r="C118" s="2">
        <v>0.19878472222222221</v>
      </c>
      <c r="D118" s="2">
        <v>0.19881944444444444</v>
      </c>
      <c r="E118" s="1" t="s">
        <v>9</v>
      </c>
      <c r="F118" s="1" t="s">
        <v>209</v>
      </c>
      <c r="G118" s="1">
        <v>0.45639999999999997</v>
      </c>
    </row>
    <row r="119" spans="1:7">
      <c r="A119" s="1" t="s">
        <v>7</v>
      </c>
      <c r="B119" s="1" t="s">
        <v>210</v>
      </c>
      <c r="C119" s="2">
        <v>0.19892361111111112</v>
      </c>
      <c r="D119" s="2">
        <v>0.1991087962962963</v>
      </c>
      <c r="E119" s="1" t="s">
        <v>9</v>
      </c>
      <c r="F119" s="1" t="s">
        <v>209</v>
      </c>
      <c r="G119" s="1">
        <v>0.46210000000000001</v>
      </c>
    </row>
    <row r="120" spans="1:7">
      <c r="A120" s="1" t="s">
        <v>7</v>
      </c>
      <c r="B120" s="1" t="s">
        <v>211</v>
      </c>
      <c r="C120" s="2">
        <v>0.1991087962962963</v>
      </c>
      <c r="D120" s="2">
        <v>0.19925925925925925</v>
      </c>
      <c r="E120" s="1" t="s">
        <v>9</v>
      </c>
      <c r="F120" s="1" t="s">
        <v>212</v>
      </c>
      <c r="G120" s="1">
        <v>0.38600000000000001</v>
      </c>
    </row>
    <row r="121" spans="1:7">
      <c r="A121" s="1" t="s">
        <v>7</v>
      </c>
      <c r="B121" s="1" t="s">
        <v>213</v>
      </c>
      <c r="C121" s="2">
        <v>0.20059027777777777</v>
      </c>
      <c r="D121" s="2">
        <v>0.200625</v>
      </c>
      <c r="E121" s="1" t="s">
        <v>9</v>
      </c>
      <c r="F121" s="1" t="s">
        <v>214</v>
      </c>
      <c r="G121" s="1">
        <v>0.32579999999999998</v>
      </c>
    </row>
    <row r="122" spans="1:7">
      <c r="A122" s="1" t="s">
        <v>7</v>
      </c>
      <c r="B122" s="1" t="s">
        <v>215</v>
      </c>
      <c r="C122" s="2">
        <v>0.20071759259259259</v>
      </c>
      <c r="D122" s="2">
        <v>0.20079861111111111</v>
      </c>
      <c r="E122" s="1" t="s">
        <v>9</v>
      </c>
      <c r="F122" s="1" t="s">
        <v>214</v>
      </c>
      <c r="G122" s="1">
        <v>0.43090000000000001</v>
      </c>
    </row>
    <row r="123" spans="1:7">
      <c r="A123" s="1" t="s">
        <v>7</v>
      </c>
      <c r="B123" s="1" t="s">
        <v>216</v>
      </c>
      <c r="C123" s="2">
        <v>0.20098379629629629</v>
      </c>
      <c r="D123" s="2">
        <v>0.20120370370370369</v>
      </c>
      <c r="E123" s="1" t="s">
        <v>9</v>
      </c>
      <c r="F123" s="1" t="s">
        <v>217</v>
      </c>
      <c r="G123" s="1">
        <v>0.47149999999999997</v>
      </c>
    </row>
    <row r="124" spans="1:7">
      <c r="A124" s="1" t="s">
        <v>7</v>
      </c>
      <c r="B124" s="1" t="s">
        <v>218</v>
      </c>
      <c r="C124" s="2">
        <v>0.20251157407407408</v>
      </c>
      <c r="D124" s="2">
        <v>0.20253472222222221</v>
      </c>
      <c r="E124" s="1" t="s">
        <v>9</v>
      </c>
      <c r="F124" s="1" t="s">
        <v>219</v>
      </c>
      <c r="G124" s="1">
        <v>0.4168</v>
      </c>
    </row>
    <row r="125" spans="1:7">
      <c r="A125" s="1" t="s">
        <v>7</v>
      </c>
      <c r="B125" s="1" t="s">
        <v>220</v>
      </c>
      <c r="C125" s="2">
        <v>0.20278935185185185</v>
      </c>
      <c r="D125" s="2">
        <v>0.20310185185185184</v>
      </c>
      <c r="E125" s="1" t="s">
        <v>9</v>
      </c>
      <c r="F125" s="1" t="s">
        <v>221</v>
      </c>
      <c r="G125" s="1">
        <v>0.50929999999999997</v>
      </c>
    </row>
    <row r="126" spans="1:7">
      <c r="A126" s="1" t="s">
        <v>7</v>
      </c>
      <c r="B126" s="1" t="s">
        <v>222</v>
      </c>
      <c r="C126" s="2">
        <v>0.20501157407407408</v>
      </c>
      <c r="D126" s="2">
        <v>0.20504629629629631</v>
      </c>
      <c r="E126" s="1" t="s">
        <v>9</v>
      </c>
      <c r="F126" s="1" t="s">
        <v>223</v>
      </c>
      <c r="G126" s="1">
        <v>0.30940000000000001</v>
      </c>
    </row>
    <row r="127" spans="1:7">
      <c r="A127" s="1" t="s">
        <v>7</v>
      </c>
      <c r="B127" s="1" t="s">
        <v>224</v>
      </c>
      <c r="C127" s="2">
        <v>0.20578703703703705</v>
      </c>
      <c r="D127" s="2">
        <v>0.20581018518518518</v>
      </c>
      <c r="E127" s="1" t="s">
        <v>9</v>
      </c>
      <c r="F127" s="1" t="s">
        <v>225</v>
      </c>
      <c r="G127" s="1">
        <v>3.4000000000000002E-2</v>
      </c>
    </row>
    <row r="128" spans="1:7">
      <c r="A128" s="1" t="s">
        <v>7</v>
      </c>
      <c r="B128" s="1" t="s">
        <v>226</v>
      </c>
      <c r="C128" s="2">
        <v>0.20657407407407408</v>
      </c>
      <c r="D128" s="2">
        <v>0.20659722222222221</v>
      </c>
      <c r="E128" s="1" t="s">
        <v>9</v>
      </c>
      <c r="F128" s="1" t="s">
        <v>227</v>
      </c>
      <c r="G128" s="1">
        <v>0.2959</v>
      </c>
    </row>
    <row r="129" spans="1:7">
      <c r="A129" s="1" t="s">
        <v>7</v>
      </c>
      <c r="B129" s="1" t="s">
        <v>228</v>
      </c>
      <c r="C129" s="2">
        <v>0.20675925925925925</v>
      </c>
      <c r="D129" s="2">
        <v>0.20688657407407407</v>
      </c>
      <c r="E129" s="1" t="s">
        <v>9</v>
      </c>
      <c r="F129" s="1" t="s">
        <v>229</v>
      </c>
      <c r="G129" s="1">
        <v>0.48020000000000002</v>
      </c>
    </row>
    <row r="130" spans="1:7">
      <c r="A130" s="1" t="s">
        <v>7</v>
      </c>
      <c r="B130" s="1" t="s">
        <v>230</v>
      </c>
      <c r="C130" s="2">
        <v>0.2069212962962963</v>
      </c>
      <c r="D130" s="2">
        <v>0.20696759259259259</v>
      </c>
      <c r="E130" s="1" t="s">
        <v>9</v>
      </c>
      <c r="F130" s="1" t="s">
        <v>229</v>
      </c>
      <c r="G130" s="1">
        <v>0.24129999999999999</v>
      </c>
    </row>
    <row r="131" spans="1:7">
      <c r="A131" s="1" t="s">
        <v>7</v>
      </c>
      <c r="B131" s="1" t="s">
        <v>231</v>
      </c>
      <c r="C131" s="2">
        <v>0.20697916666666666</v>
      </c>
      <c r="D131" s="2">
        <v>0.20704861111111111</v>
      </c>
      <c r="E131" s="1" t="s">
        <v>9</v>
      </c>
      <c r="F131" s="1" t="s">
        <v>232</v>
      </c>
      <c r="G131" s="1">
        <v>0.50070000000000003</v>
      </c>
    </row>
    <row r="132" spans="1:7">
      <c r="A132" s="1" t="s">
        <v>7</v>
      </c>
      <c r="B132" s="1" t="s">
        <v>233</v>
      </c>
      <c r="C132" s="2">
        <v>0.2071875</v>
      </c>
      <c r="D132" s="2">
        <v>0.20724537037037036</v>
      </c>
      <c r="E132" s="1" t="s">
        <v>9</v>
      </c>
      <c r="F132" s="1" t="s">
        <v>234</v>
      </c>
      <c r="G132" s="1">
        <v>0.22370000000000001</v>
      </c>
    </row>
    <row r="133" spans="1:7">
      <c r="A133" s="1" t="s">
        <v>7</v>
      </c>
      <c r="B133" s="1" t="s">
        <v>235</v>
      </c>
      <c r="C133" s="2">
        <v>0.21038194444444444</v>
      </c>
      <c r="D133" s="2">
        <v>0.2104513888888889</v>
      </c>
      <c r="E133" s="1" t="s">
        <v>9</v>
      </c>
      <c r="F133" s="1" t="s">
        <v>236</v>
      </c>
      <c r="G133" s="1">
        <v>0.47470000000000001</v>
      </c>
    </row>
    <row r="134" spans="1:7">
      <c r="A134" s="1" t="s">
        <v>7</v>
      </c>
      <c r="B134" s="1" t="s">
        <v>237</v>
      </c>
      <c r="C134" s="2">
        <v>0.21046296296296296</v>
      </c>
      <c r="D134" s="2">
        <v>0.21057870370370371</v>
      </c>
      <c r="E134" s="1" t="s">
        <v>9</v>
      </c>
      <c r="F134" s="1" t="s">
        <v>236</v>
      </c>
      <c r="G134" s="1">
        <v>0.47210000000000002</v>
      </c>
    </row>
    <row r="135" spans="1:7">
      <c r="A135" s="1" t="s">
        <v>7</v>
      </c>
      <c r="B135" s="1" t="s">
        <v>238</v>
      </c>
      <c r="C135" s="2">
        <v>0.21133101851851852</v>
      </c>
      <c r="D135" s="2">
        <v>0.2114699074074074</v>
      </c>
      <c r="E135" s="1" t="s">
        <v>9</v>
      </c>
      <c r="F135" s="1" t="s">
        <v>239</v>
      </c>
      <c r="G135" s="1">
        <v>0.39150000000000001</v>
      </c>
    </row>
    <row r="136" spans="1:7">
      <c r="A136" s="1" t="s">
        <v>7</v>
      </c>
      <c r="B136" s="1" t="s">
        <v>240</v>
      </c>
      <c r="C136" s="2">
        <v>0.21579861111111112</v>
      </c>
      <c r="D136" s="2">
        <v>0.21586805555555555</v>
      </c>
      <c r="E136" s="1" t="s">
        <v>9</v>
      </c>
      <c r="F136" s="1" t="s">
        <v>241</v>
      </c>
      <c r="G136" s="1">
        <v>0.35110000000000002</v>
      </c>
    </row>
    <row r="137" spans="1:7">
      <c r="A137" s="1" t="s">
        <v>7</v>
      </c>
      <c r="B137" s="1" t="s">
        <v>242</v>
      </c>
      <c r="C137" s="2">
        <v>0.21700231481481483</v>
      </c>
      <c r="D137" s="2">
        <v>0.21715277777777778</v>
      </c>
      <c r="E137" s="1" t="s">
        <v>9</v>
      </c>
      <c r="F137" s="1" t="s">
        <v>243</v>
      </c>
      <c r="G137" s="1">
        <v>0.46510000000000001</v>
      </c>
    </row>
    <row r="138" spans="1:7">
      <c r="A138" s="1" t="s">
        <v>7</v>
      </c>
      <c r="B138" s="1" t="s">
        <v>244</v>
      </c>
      <c r="C138" s="2">
        <v>0.21760416666666665</v>
      </c>
      <c r="D138" s="2">
        <v>0.21763888888888888</v>
      </c>
      <c r="E138" s="1" t="s">
        <v>9</v>
      </c>
      <c r="F138" s="1" t="s">
        <v>245</v>
      </c>
      <c r="G138" s="1">
        <v>0.20660000000000001</v>
      </c>
    </row>
    <row r="139" spans="1:7">
      <c r="A139" s="1" t="s">
        <v>7</v>
      </c>
      <c r="B139" s="1" t="s">
        <v>246</v>
      </c>
      <c r="C139" s="2">
        <v>0.22336805555555556</v>
      </c>
      <c r="D139" s="2">
        <v>0.22341435185185185</v>
      </c>
      <c r="E139" s="1" t="s">
        <v>9</v>
      </c>
      <c r="F139" s="1" t="s">
        <v>247</v>
      </c>
      <c r="G139" s="1">
        <v>0.34849999999999998</v>
      </c>
    </row>
    <row r="140" spans="1:7">
      <c r="A140" s="1" t="s">
        <v>7</v>
      </c>
      <c r="B140" s="1" t="s">
        <v>248</v>
      </c>
      <c r="C140" s="2">
        <v>0.22371527777777778</v>
      </c>
      <c r="D140" s="2">
        <v>0.22375</v>
      </c>
      <c r="E140" s="1" t="s">
        <v>9</v>
      </c>
      <c r="F140" s="1" t="s">
        <v>249</v>
      </c>
      <c r="G140" s="1">
        <v>0.254</v>
      </c>
    </row>
    <row r="141" spans="1:7">
      <c r="A141" s="1" t="s">
        <v>7</v>
      </c>
      <c r="B141" s="1" t="s">
        <v>250</v>
      </c>
      <c r="C141" s="2">
        <v>0.22575231481481481</v>
      </c>
      <c r="D141" s="2">
        <v>0.2258101851851852</v>
      </c>
      <c r="E141" s="1" t="s">
        <v>9</v>
      </c>
      <c r="F141" s="1" t="s">
        <v>251</v>
      </c>
      <c r="G141" s="1">
        <v>0.28079999999999999</v>
      </c>
    </row>
    <row r="142" spans="1:7">
      <c r="A142" s="1" t="s">
        <v>7</v>
      </c>
      <c r="B142" s="1" t="s">
        <v>252</v>
      </c>
      <c r="C142" s="2">
        <v>0.2260300925925926</v>
      </c>
      <c r="D142" s="2">
        <v>0.22608796296296296</v>
      </c>
      <c r="E142" s="1" t="s">
        <v>9</v>
      </c>
      <c r="F142" s="1" t="s">
        <v>253</v>
      </c>
      <c r="G142" s="1">
        <v>0.4622</v>
      </c>
    </row>
    <row r="143" spans="1:7">
      <c r="A143" s="1" t="s">
        <v>7</v>
      </c>
      <c r="B143" s="1" t="s">
        <v>254</v>
      </c>
      <c r="C143" s="2">
        <v>0.22837962962962963</v>
      </c>
      <c r="D143" s="2">
        <v>0.22840277777777779</v>
      </c>
      <c r="E143" s="1" t="s">
        <v>9</v>
      </c>
      <c r="F143" s="1" t="s">
        <v>255</v>
      </c>
      <c r="G143" s="1">
        <v>0.25290000000000001</v>
      </c>
    </row>
    <row r="144" spans="1:7">
      <c r="A144" s="1" t="s">
        <v>7</v>
      </c>
      <c r="B144" s="1" t="s">
        <v>256</v>
      </c>
      <c r="C144" s="2">
        <v>0.22858796296296297</v>
      </c>
      <c r="D144" s="2">
        <v>0.2286111111111111</v>
      </c>
      <c r="E144" s="1" t="s">
        <v>9</v>
      </c>
      <c r="F144" s="1" t="s">
        <v>255</v>
      </c>
      <c r="G144" s="1">
        <v>0.1128</v>
      </c>
    </row>
    <row r="145" spans="1:7">
      <c r="A145" s="1" t="s">
        <v>7</v>
      </c>
      <c r="B145" s="1" t="s">
        <v>257</v>
      </c>
      <c r="C145" s="2">
        <v>0.23167824074074075</v>
      </c>
      <c r="D145" s="2">
        <v>0.23171296296296295</v>
      </c>
      <c r="E145" s="1" t="s">
        <v>9</v>
      </c>
      <c r="F145" s="1" t="s">
        <v>258</v>
      </c>
      <c r="G145" s="1">
        <v>0.23119999999999999</v>
      </c>
    </row>
    <row r="146" spans="1:7">
      <c r="A146" s="1" t="s">
        <v>7</v>
      </c>
      <c r="B146" s="1" t="s">
        <v>259</v>
      </c>
      <c r="C146" s="2">
        <v>0.23299768518518518</v>
      </c>
      <c r="D146" s="2">
        <v>0.23303240740740741</v>
      </c>
      <c r="E146" s="1" t="s">
        <v>9</v>
      </c>
      <c r="F146" s="1" t="s">
        <v>260</v>
      </c>
      <c r="G146" s="1">
        <v>0.2321</v>
      </c>
    </row>
    <row r="147" spans="1:7">
      <c r="A147" s="1" t="s">
        <v>7</v>
      </c>
      <c r="B147" s="1" t="s">
        <v>261</v>
      </c>
      <c r="C147" s="2">
        <v>0.24037037037037037</v>
      </c>
      <c r="D147" s="2">
        <v>0.24041666666666667</v>
      </c>
      <c r="E147" s="1" t="s">
        <v>9</v>
      </c>
      <c r="F147" s="1" t="s">
        <v>262</v>
      </c>
      <c r="G147" s="1">
        <v>0.1084</v>
      </c>
    </row>
    <row r="148" spans="1:7">
      <c r="A148" s="1" t="s">
        <v>7</v>
      </c>
      <c r="B148" s="1" t="s">
        <v>263</v>
      </c>
      <c r="C148" s="2">
        <v>0.2442361111111111</v>
      </c>
      <c r="D148" s="2">
        <v>0.24429398148148149</v>
      </c>
      <c r="E148" s="1" t="s">
        <v>9</v>
      </c>
      <c r="F148" s="1" t="s">
        <v>264</v>
      </c>
      <c r="G148" s="1">
        <v>0.17249999999999999</v>
      </c>
    </row>
    <row r="149" spans="1:7">
      <c r="A149" s="1" t="s">
        <v>7</v>
      </c>
      <c r="B149" s="1" t="s">
        <v>265</v>
      </c>
      <c r="C149" s="2">
        <v>0.24752314814814816</v>
      </c>
      <c r="D149" s="2">
        <v>0.24755787037037036</v>
      </c>
      <c r="E149" s="1" t="s">
        <v>9</v>
      </c>
      <c r="F149" s="1" t="s">
        <v>266</v>
      </c>
      <c r="G149" s="1">
        <v>8.2100000000000006E-2</v>
      </c>
    </row>
    <row r="150" spans="1:7">
      <c r="A150" s="1" t="s">
        <v>7</v>
      </c>
      <c r="B150" s="1" t="s">
        <v>267</v>
      </c>
      <c r="C150" s="2">
        <v>0.2550810185185185</v>
      </c>
      <c r="D150" s="2">
        <v>0.25511574074074073</v>
      </c>
      <c r="E150" s="1" t="s">
        <v>9</v>
      </c>
      <c r="F150" s="1" t="s">
        <v>268</v>
      </c>
      <c r="G150" s="1">
        <v>0.15290000000000001</v>
      </c>
    </row>
    <row r="151" spans="1:7">
      <c r="A151" s="1" t="s">
        <v>7</v>
      </c>
      <c r="B151" s="1" t="s">
        <v>269</v>
      </c>
      <c r="C151" s="2">
        <v>0.27506944444444442</v>
      </c>
      <c r="D151" s="2">
        <v>0.27519675925925924</v>
      </c>
      <c r="E151" s="1" t="s">
        <v>9</v>
      </c>
      <c r="F151" s="1" t="s">
        <v>270</v>
      </c>
      <c r="G151" s="1">
        <v>0.37790000000000001</v>
      </c>
    </row>
    <row r="152" spans="1:7">
      <c r="A152" s="1" t="s">
        <v>7</v>
      </c>
      <c r="B152" s="1" t="s">
        <v>271</v>
      </c>
      <c r="C152" s="2">
        <v>0.28229166666666666</v>
      </c>
      <c r="D152" s="2">
        <v>0.28232638888888889</v>
      </c>
      <c r="E152" s="1" t="s">
        <v>9</v>
      </c>
      <c r="F152" s="1" t="s">
        <v>272</v>
      </c>
      <c r="G152" s="1">
        <v>0.19900000000000001</v>
      </c>
    </row>
    <row r="153" spans="1:7">
      <c r="A153" s="1" t="s">
        <v>7</v>
      </c>
      <c r="B153" s="1" t="s">
        <v>273</v>
      </c>
      <c r="C153" s="2">
        <v>0.28372685185185187</v>
      </c>
      <c r="D153" s="2">
        <v>0.28381944444444446</v>
      </c>
      <c r="E153" s="1" t="s">
        <v>9</v>
      </c>
      <c r="F153" s="1" t="s">
        <v>274</v>
      </c>
      <c r="G153" s="1">
        <v>0.27610000000000001</v>
      </c>
    </row>
    <row r="154" spans="1:7">
      <c r="A154" s="1" t="s">
        <v>7</v>
      </c>
      <c r="B154" s="1" t="s">
        <v>275</v>
      </c>
      <c r="C154" s="2">
        <v>0.323125</v>
      </c>
      <c r="D154" s="2">
        <v>0.32314814814814813</v>
      </c>
      <c r="E154" s="1" t="s">
        <v>9</v>
      </c>
      <c r="F154" s="1" t="s">
        <v>276</v>
      </c>
      <c r="G154" s="1">
        <v>0.29039999999999999</v>
      </c>
    </row>
    <row r="155" spans="1:7">
      <c r="A155" s="1" t="s">
        <v>7</v>
      </c>
      <c r="B155" s="1" t="s">
        <v>277</v>
      </c>
      <c r="C155" s="2">
        <v>0.35627314814814814</v>
      </c>
      <c r="D155" s="2">
        <v>0.35630787037037037</v>
      </c>
      <c r="E155" s="1" t="s">
        <v>9</v>
      </c>
      <c r="F155" s="1" t="s">
        <v>278</v>
      </c>
      <c r="G155" s="1">
        <v>0.1666</v>
      </c>
    </row>
    <row r="156" spans="1:7">
      <c r="A156" s="1" t="s">
        <v>7</v>
      </c>
      <c r="B156" s="1" t="s">
        <v>279</v>
      </c>
      <c r="C156" s="2">
        <v>0.3709722222222222</v>
      </c>
      <c r="D156" s="2">
        <v>0.37100694444444443</v>
      </c>
      <c r="E156" s="1" t="s">
        <v>9</v>
      </c>
      <c r="F156" s="1" t="s">
        <v>280</v>
      </c>
      <c r="G156" s="1">
        <v>0.21329999999999999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8F094-B262-44F7-B073-BC282EB181CE}">
  <dimension ref="A1:M93"/>
  <sheetViews>
    <sheetView topLeftCell="A80" workbookViewId="0">
      <selection activeCell="C93" sqref="C93"/>
    </sheetView>
  </sheetViews>
  <sheetFormatPr defaultRowHeight="15"/>
  <cols>
    <col min="1" max="1" width="11" style="10" customWidth="1"/>
    <col min="2" max="2" width="20.85546875" style="10" customWidth="1"/>
    <col min="3" max="3" width="9.28515625" style="10" bestFit="1" customWidth="1"/>
    <col min="4" max="4" width="9.140625" style="10"/>
    <col min="5" max="5" width="11.140625" style="10" bestFit="1" customWidth="1"/>
    <col min="6" max="6" width="10.28515625" style="10" bestFit="1" customWidth="1"/>
    <col min="7" max="7" width="9.140625" style="10"/>
    <col min="8" max="8" width="16.5703125" style="10" bestFit="1" customWidth="1"/>
    <col min="9" max="9" width="17.7109375" style="10" bestFit="1" customWidth="1"/>
    <col min="10" max="10" width="17.7109375" style="10" customWidth="1"/>
    <col min="11" max="11" width="51.5703125" style="10" customWidth="1"/>
    <col min="12" max="12" width="51.28515625" style="11" customWidth="1"/>
    <col min="13" max="13" width="77.140625" style="11" customWidth="1"/>
    <col min="14" max="16384" width="9.140625" style="10"/>
  </cols>
  <sheetData>
    <row r="1" spans="1:13">
      <c r="A1" s="20" t="s">
        <v>0</v>
      </c>
      <c r="B1" s="21" t="s">
        <v>1</v>
      </c>
      <c r="C1" s="21" t="s">
        <v>2</v>
      </c>
      <c r="D1" s="21" t="s">
        <v>3</v>
      </c>
      <c r="E1" s="18" t="s">
        <v>281</v>
      </c>
      <c r="F1" s="18" t="s">
        <v>282</v>
      </c>
      <c r="G1" s="21" t="s">
        <v>4</v>
      </c>
      <c r="H1" s="22" t="s">
        <v>283</v>
      </c>
      <c r="I1" s="22" t="s">
        <v>284</v>
      </c>
      <c r="J1" s="22" t="s">
        <v>285</v>
      </c>
      <c r="K1" s="23" t="s">
        <v>6</v>
      </c>
      <c r="L1" s="24" t="s">
        <v>286</v>
      </c>
      <c r="M1" s="25"/>
    </row>
    <row r="2" spans="1:13">
      <c r="A2" s="26" t="s">
        <v>7</v>
      </c>
      <c r="B2" s="27" t="s">
        <v>287</v>
      </c>
      <c r="C2" s="28">
        <v>7.9571759259259259E-2</v>
      </c>
      <c r="D2" s="28">
        <v>7.9687499999999994E-2</v>
      </c>
      <c r="E2" s="18">
        <f>ROUND(C2*86400*30, 0)</f>
        <v>206250</v>
      </c>
      <c r="F2" s="18">
        <f>ROUND(D2*86400*30, 0)</f>
        <v>206550</v>
      </c>
      <c r="G2" s="29" t="s">
        <v>288</v>
      </c>
      <c r="H2" s="29" t="s">
        <v>289</v>
      </c>
      <c r="I2" s="29">
        <v>3</v>
      </c>
      <c r="J2" s="29"/>
      <c r="K2" s="31"/>
      <c r="L2" s="30"/>
      <c r="M2" s="30"/>
    </row>
    <row r="3" spans="1:13">
      <c r="A3" s="26" t="s">
        <v>7</v>
      </c>
      <c r="B3" s="27" t="s">
        <v>8</v>
      </c>
      <c r="C3" s="28">
        <v>0.12840277777777778</v>
      </c>
      <c r="D3" s="28">
        <v>0.1285300925925926</v>
      </c>
      <c r="E3" s="18">
        <f t="shared" ref="E3:E66" si="0">ROUND(C3*86400*30, 0)</f>
        <v>332820</v>
      </c>
      <c r="F3" s="18">
        <f t="shared" ref="F3:F66" si="1">ROUND(D3*86400*30, 0)</f>
        <v>333150</v>
      </c>
      <c r="G3" s="29" t="s">
        <v>288</v>
      </c>
      <c r="H3" s="29" t="s">
        <v>290</v>
      </c>
      <c r="I3" s="29">
        <v>3</v>
      </c>
      <c r="J3" s="29"/>
      <c r="K3" s="31"/>
      <c r="L3" s="30"/>
      <c r="M3" s="30"/>
    </row>
    <row r="4" spans="1:13">
      <c r="A4" s="26" t="s">
        <v>7</v>
      </c>
      <c r="B4" s="27" t="s">
        <v>291</v>
      </c>
      <c r="C4" s="28">
        <v>0.12910879629629629</v>
      </c>
      <c r="D4" s="28">
        <v>0.12917824074074075</v>
      </c>
      <c r="E4" s="18">
        <f t="shared" si="0"/>
        <v>334650</v>
      </c>
      <c r="F4" s="18">
        <f t="shared" si="1"/>
        <v>334830</v>
      </c>
      <c r="G4" s="29" t="s">
        <v>288</v>
      </c>
      <c r="H4" s="29" t="s">
        <v>290</v>
      </c>
      <c r="I4" s="29">
        <v>2</v>
      </c>
      <c r="J4" s="29"/>
      <c r="K4" s="31"/>
      <c r="L4" s="30"/>
      <c r="M4" s="30"/>
    </row>
    <row r="5" spans="1:13">
      <c r="A5" s="26" t="s">
        <v>7</v>
      </c>
      <c r="B5" s="27" t="s">
        <v>292</v>
      </c>
      <c r="C5" s="28">
        <v>0.12923611111111111</v>
      </c>
      <c r="D5" s="28">
        <v>0.12929398148148147</v>
      </c>
      <c r="E5" s="18">
        <f t="shared" si="0"/>
        <v>334980</v>
      </c>
      <c r="F5" s="18">
        <f t="shared" si="1"/>
        <v>335130</v>
      </c>
      <c r="G5" s="29" t="s">
        <v>288</v>
      </c>
      <c r="H5" s="29" t="s">
        <v>290</v>
      </c>
      <c r="I5" s="29">
        <v>2</v>
      </c>
      <c r="J5" s="29"/>
      <c r="K5" s="31"/>
      <c r="L5" s="30"/>
      <c r="M5" s="30"/>
    </row>
    <row r="6" spans="1:13">
      <c r="A6" s="26" t="s">
        <v>7</v>
      </c>
      <c r="B6" s="27" t="s">
        <v>11</v>
      </c>
      <c r="C6" s="28">
        <v>0.12939814814814815</v>
      </c>
      <c r="D6" s="28">
        <v>0.12943287037037038</v>
      </c>
      <c r="E6" s="18">
        <f t="shared" si="0"/>
        <v>335400</v>
      </c>
      <c r="F6" s="18">
        <f t="shared" si="1"/>
        <v>335490</v>
      </c>
      <c r="G6" s="29" t="s">
        <v>288</v>
      </c>
      <c r="H6" s="29" t="s">
        <v>289</v>
      </c>
      <c r="I6" s="29">
        <v>1</v>
      </c>
      <c r="J6" s="29"/>
      <c r="K6" s="31"/>
      <c r="L6" s="30"/>
      <c r="M6" s="30"/>
    </row>
    <row r="7" spans="1:13">
      <c r="A7" s="26" t="s">
        <v>7</v>
      </c>
      <c r="B7" s="27" t="s">
        <v>13</v>
      </c>
      <c r="C7" s="28">
        <v>0.12968750000000001</v>
      </c>
      <c r="D7" s="28">
        <v>0.12974537037037037</v>
      </c>
      <c r="E7" s="18">
        <f t="shared" si="0"/>
        <v>336150</v>
      </c>
      <c r="F7" s="18">
        <f t="shared" si="1"/>
        <v>336300</v>
      </c>
      <c r="G7" s="29" t="s">
        <v>288</v>
      </c>
      <c r="H7" s="29" t="s">
        <v>290</v>
      </c>
      <c r="I7" s="29">
        <v>1.5</v>
      </c>
      <c r="J7" s="29"/>
      <c r="K7" s="31"/>
      <c r="L7" s="30" t="s">
        <v>293</v>
      </c>
      <c r="M7" s="30"/>
    </row>
    <row r="8" spans="1:13" ht="36">
      <c r="A8" s="32" t="s">
        <v>7</v>
      </c>
      <c r="B8" s="33" t="s">
        <v>15</v>
      </c>
      <c r="C8" s="34">
        <v>0.13534722222222223</v>
      </c>
      <c r="D8" s="34">
        <v>0.13537037037037036</v>
      </c>
      <c r="E8" s="40">
        <f t="shared" si="0"/>
        <v>350820</v>
      </c>
      <c r="F8" s="40">
        <f t="shared" si="1"/>
        <v>350880</v>
      </c>
      <c r="G8" s="35" t="s">
        <v>288</v>
      </c>
      <c r="H8" s="30"/>
      <c r="I8" s="30"/>
      <c r="J8" s="30"/>
      <c r="K8" s="36" t="s">
        <v>294</v>
      </c>
      <c r="L8" s="37" t="s">
        <v>295</v>
      </c>
      <c r="M8" s="30"/>
    </row>
    <row r="9" spans="1:13">
      <c r="A9" s="26" t="s">
        <v>7</v>
      </c>
      <c r="B9" s="27" t="s">
        <v>16</v>
      </c>
      <c r="C9" s="28">
        <v>0.13542824074074075</v>
      </c>
      <c r="D9" s="28">
        <v>0.13552083333333334</v>
      </c>
      <c r="E9" s="18">
        <f t="shared" si="0"/>
        <v>351030</v>
      </c>
      <c r="F9" s="18">
        <f t="shared" si="1"/>
        <v>351270</v>
      </c>
      <c r="G9" s="29" t="s">
        <v>288</v>
      </c>
      <c r="H9" s="29" t="s">
        <v>289</v>
      </c>
      <c r="I9" s="29">
        <v>2</v>
      </c>
      <c r="J9" s="29"/>
      <c r="K9" s="31"/>
      <c r="L9" s="30"/>
      <c r="M9" s="30"/>
    </row>
    <row r="10" spans="1:13">
      <c r="A10" s="26" t="s">
        <v>7</v>
      </c>
      <c r="B10" s="27" t="s">
        <v>18</v>
      </c>
      <c r="C10" s="28">
        <v>0.13561342592592593</v>
      </c>
      <c r="D10" s="28">
        <v>0.13579861111111111</v>
      </c>
      <c r="E10" s="18">
        <f t="shared" si="0"/>
        <v>351510</v>
      </c>
      <c r="F10" s="18">
        <f t="shared" si="1"/>
        <v>351990</v>
      </c>
      <c r="G10" s="29" t="s">
        <v>288</v>
      </c>
      <c r="H10" s="29" t="s">
        <v>290</v>
      </c>
      <c r="I10" s="29">
        <v>5</v>
      </c>
      <c r="J10" s="29"/>
      <c r="K10" s="31"/>
      <c r="L10" s="30"/>
      <c r="M10" s="30"/>
    </row>
    <row r="11" spans="1:13">
      <c r="A11" s="26" t="s">
        <v>7</v>
      </c>
      <c r="B11" s="27" t="s">
        <v>20</v>
      </c>
      <c r="C11" s="28">
        <v>0.13589120370370369</v>
      </c>
      <c r="D11" s="28">
        <v>0.13594907407407408</v>
      </c>
      <c r="E11" s="18">
        <f t="shared" si="0"/>
        <v>352230</v>
      </c>
      <c r="F11" s="18">
        <f t="shared" si="1"/>
        <v>352380</v>
      </c>
      <c r="G11" s="29" t="s">
        <v>288</v>
      </c>
      <c r="H11" s="29" t="s">
        <v>290</v>
      </c>
      <c r="I11" s="29">
        <v>2</v>
      </c>
      <c r="J11" s="29"/>
      <c r="K11" s="31"/>
      <c r="L11" s="30"/>
      <c r="M11" s="30"/>
    </row>
    <row r="12" spans="1:13">
      <c r="A12" s="32" t="s">
        <v>7</v>
      </c>
      <c r="B12" s="33" t="s">
        <v>22</v>
      </c>
      <c r="C12" s="34">
        <v>0.13811342592592593</v>
      </c>
      <c r="D12" s="34">
        <v>0.13814814814814816</v>
      </c>
      <c r="E12" s="18">
        <f t="shared" si="0"/>
        <v>357990</v>
      </c>
      <c r="F12" s="18">
        <f t="shared" si="1"/>
        <v>358080</v>
      </c>
      <c r="G12" s="35" t="s">
        <v>288</v>
      </c>
      <c r="H12" s="30"/>
      <c r="I12" s="30"/>
      <c r="J12" s="30"/>
      <c r="K12" s="31"/>
      <c r="L12" s="30"/>
      <c r="M12" s="30"/>
    </row>
    <row r="13" spans="1:13">
      <c r="A13" s="26" t="s">
        <v>7</v>
      </c>
      <c r="B13" s="27" t="s">
        <v>24</v>
      </c>
      <c r="C13" s="28">
        <v>0.1383449074074074</v>
      </c>
      <c r="D13" s="28">
        <v>0.13837962962962963</v>
      </c>
      <c r="E13" s="18">
        <f t="shared" si="0"/>
        <v>358590</v>
      </c>
      <c r="F13" s="18">
        <f t="shared" si="1"/>
        <v>358680</v>
      </c>
      <c r="G13" s="29" t="s">
        <v>288</v>
      </c>
      <c r="H13" s="29" t="s">
        <v>290</v>
      </c>
      <c r="I13" s="29">
        <v>1</v>
      </c>
      <c r="J13" s="29"/>
      <c r="K13" s="31"/>
      <c r="L13" s="30"/>
      <c r="M13" s="30"/>
    </row>
    <row r="14" spans="1:13" ht="30.75">
      <c r="A14" s="32" t="s">
        <v>7</v>
      </c>
      <c r="B14" s="33" t="s">
        <v>25</v>
      </c>
      <c r="C14" s="34">
        <v>0.1411111111111111</v>
      </c>
      <c r="D14" s="34">
        <v>0.1411226851851852</v>
      </c>
      <c r="E14" s="40">
        <f t="shared" si="0"/>
        <v>365760</v>
      </c>
      <c r="F14" s="40">
        <f t="shared" si="1"/>
        <v>365790</v>
      </c>
      <c r="G14" s="35" t="s">
        <v>288</v>
      </c>
      <c r="H14" s="30"/>
      <c r="I14" s="30"/>
      <c r="J14" s="30"/>
      <c r="K14" s="38" t="s">
        <v>296</v>
      </c>
      <c r="L14" s="39" t="s">
        <v>297</v>
      </c>
      <c r="M14" s="30"/>
    </row>
    <row r="15" spans="1:13">
      <c r="A15" s="26" t="s">
        <v>7</v>
      </c>
      <c r="B15" s="27" t="s">
        <v>27</v>
      </c>
      <c r="C15" s="28">
        <v>0.14185185185185184</v>
      </c>
      <c r="D15" s="28">
        <v>0.14190972222222223</v>
      </c>
      <c r="E15" s="18">
        <f t="shared" si="0"/>
        <v>367680</v>
      </c>
      <c r="F15" s="18">
        <f t="shared" si="1"/>
        <v>367830</v>
      </c>
      <c r="G15" s="29" t="s">
        <v>288</v>
      </c>
      <c r="H15" s="29" t="s">
        <v>290</v>
      </c>
      <c r="I15" s="29">
        <v>1</v>
      </c>
      <c r="J15" s="29"/>
      <c r="K15" s="31"/>
      <c r="L15" s="30"/>
      <c r="M15" s="30"/>
    </row>
    <row r="16" spans="1:13">
      <c r="A16" s="26" t="s">
        <v>7</v>
      </c>
      <c r="B16" s="27" t="s">
        <v>29</v>
      </c>
      <c r="C16" s="28">
        <v>0.14211805555555557</v>
      </c>
      <c r="D16" s="28">
        <v>0.14224537037037038</v>
      </c>
      <c r="E16" s="18">
        <f t="shared" si="0"/>
        <v>368370</v>
      </c>
      <c r="F16" s="18">
        <f t="shared" si="1"/>
        <v>368700</v>
      </c>
      <c r="G16" s="29" t="s">
        <v>288</v>
      </c>
      <c r="H16" s="29" t="s">
        <v>289</v>
      </c>
      <c r="I16" s="29">
        <v>2</v>
      </c>
      <c r="J16" s="29"/>
      <c r="K16" s="31"/>
      <c r="L16" s="30"/>
      <c r="M16" s="30"/>
    </row>
    <row r="17" spans="1:13">
      <c r="A17" s="26" t="s">
        <v>7</v>
      </c>
      <c r="B17" s="27" t="s">
        <v>31</v>
      </c>
      <c r="C17" s="28">
        <v>0.14231481481481481</v>
      </c>
      <c r="D17" s="28">
        <v>0.14245370370370369</v>
      </c>
      <c r="E17" s="18">
        <f t="shared" si="0"/>
        <v>368880</v>
      </c>
      <c r="F17" s="18">
        <f t="shared" si="1"/>
        <v>369240</v>
      </c>
      <c r="G17" s="29" t="s">
        <v>288</v>
      </c>
      <c r="H17" s="29" t="s">
        <v>290</v>
      </c>
      <c r="I17" s="29">
        <v>4</v>
      </c>
      <c r="J17" s="29"/>
      <c r="K17" s="31"/>
      <c r="L17" s="30"/>
      <c r="M17" s="30"/>
    </row>
    <row r="18" spans="1:13">
      <c r="A18" s="26" t="s">
        <v>7</v>
      </c>
      <c r="B18" s="27" t="s">
        <v>33</v>
      </c>
      <c r="C18" s="28">
        <v>0.1426736111111111</v>
      </c>
      <c r="D18" s="28">
        <v>0.1429050925925926</v>
      </c>
      <c r="E18" s="18">
        <f t="shared" si="0"/>
        <v>369810</v>
      </c>
      <c r="F18" s="18">
        <f t="shared" si="1"/>
        <v>370410</v>
      </c>
      <c r="G18" s="29" t="s">
        <v>288</v>
      </c>
      <c r="H18" s="29" t="s">
        <v>289</v>
      </c>
      <c r="I18" s="29">
        <v>6</v>
      </c>
      <c r="J18" s="29"/>
      <c r="K18" s="31"/>
      <c r="L18" s="30"/>
      <c r="M18" s="30"/>
    </row>
    <row r="19" spans="1:13">
      <c r="A19" s="26" t="s">
        <v>7</v>
      </c>
      <c r="B19" s="27" t="s">
        <v>35</v>
      </c>
      <c r="C19" s="28">
        <v>0.14605324074074075</v>
      </c>
      <c r="D19" s="28">
        <v>0.14609953703703704</v>
      </c>
      <c r="E19" s="18">
        <f t="shared" si="0"/>
        <v>378570</v>
      </c>
      <c r="F19" s="18">
        <f t="shared" si="1"/>
        <v>378690</v>
      </c>
      <c r="G19" s="29" t="s">
        <v>288</v>
      </c>
      <c r="H19" s="29" t="s">
        <v>290</v>
      </c>
      <c r="I19" s="29">
        <v>1</v>
      </c>
      <c r="J19" s="29"/>
      <c r="K19" s="31"/>
      <c r="L19" s="30"/>
      <c r="M19" s="30"/>
    </row>
    <row r="20" spans="1:13">
      <c r="A20" s="32" t="s">
        <v>7</v>
      </c>
      <c r="B20" s="33" t="s">
        <v>37</v>
      </c>
      <c r="C20" s="34">
        <v>0.14618055555555556</v>
      </c>
      <c r="D20" s="34">
        <v>0.14619212962962963</v>
      </c>
      <c r="E20" s="18">
        <f t="shared" si="0"/>
        <v>378900</v>
      </c>
      <c r="F20" s="18">
        <f t="shared" si="1"/>
        <v>378930</v>
      </c>
      <c r="G20" s="35" t="s">
        <v>288</v>
      </c>
      <c r="H20" s="30"/>
      <c r="I20" s="30"/>
      <c r="J20" s="30"/>
      <c r="K20" s="38" t="s">
        <v>296</v>
      </c>
      <c r="L20" s="30"/>
      <c r="M20" s="30"/>
    </row>
    <row r="21" spans="1:13">
      <c r="A21" s="26" t="s">
        <v>7</v>
      </c>
      <c r="B21" s="27" t="s">
        <v>39</v>
      </c>
      <c r="C21" s="28">
        <v>0.14667824074074073</v>
      </c>
      <c r="D21" s="28">
        <v>0.14677083333333332</v>
      </c>
      <c r="E21" s="18">
        <f t="shared" si="0"/>
        <v>380190</v>
      </c>
      <c r="F21" s="18">
        <f t="shared" si="1"/>
        <v>380430</v>
      </c>
      <c r="G21" s="29" t="s">
        <v>288</v>
      </c>
      <c r="H21" s="29" t="s">
        <v>289</v>
      </c>
      <c r="I21" s="29">
        <v>2</v>
      </c>
      <c r="J21" s="29"/>
      <c r="K21" s="31"/>
      <c r="L21" s="30"/>
      <c r="M21" s="30"/>
    </row>
    <row r="22" spans="1:13">
      <c r="A22" s="26" t="s">
        <v>7</v>
      </c>
      <c r="B22" s="27" t="s">
        <v>41</v>
      </c>
      <c r="C22" s="28">
        <v>0.14686342592592594</v>
      </c>
      <c r="D22" s="28">
        <v>0.14702546296296296</v>
      </c>
      <c r="E22" s="18">
        <f t="shared" si="0"/>
        <v>380670</v>
      </c>
      <c r="F22" s="18">
        <f t="shared" si="1"/>
        <v>381090</v>
      </c>
      <c r="G22" s="29" t="s">
        <v>288</v>
      </c>
      <c r="H22" s="29" t="s">
        <v>290</v>
      </c>
      <c r="I22" s="29">
        <v>4</v>
      </c>
      <c r="J22" s="29"/>
      <c r="K22" s="31"/>
      <c r="L22" s="30"/>
      <c r="M22" s="30"/>
    </row>
    <row r="23" spans="1:13">
      <c r="A23" s="26" t="s">
        <v>7</v>
      </c>
      <c r="B23" s="27" t="s">
        <v>43</v>
      </c>
      <c r="C23" s="28">
        <v>0.14709490740740741</v>
      </c>
      <c r="D23" s="28">
        <v>0.14715277777777777</v>
      </c>
      <c r="E23" s="18">
        <f t="shared" si="0"/>
        <v>381270</v>
      </c>
      <c r="F23" s="18">
        <f t="shared" si="1"/>
        <v>381420</v>
      </c>
      <c r="G23" s="29" t="s">
        <v>288</v>
      </c>
      <c r="H23" s="29" t="s">
        <v>290</v>
      </c>
      <c r="I23" s="29">
        <v>2</v>
      </c>
      <c r="J23" s="29"/>
      <c r="K23" s="31"/>
      <c r="L23" s="30"/>
      <c r="M23" s="30"/>
    </row>
    <row r="24" spans="1:13">
      <c r="A24" s="26" t="s">
        <v>7</v>
      </c>
      <c r="B24" s="27" t="s">
        <v>44</v>
      </c>
      <c r="C24" s="28">
        <v>0.14755787037037038</v>
      </c>
      <c r="D24" s="28">
        <v>0.14763888888888888</v>
      </c>
      <c r="E24" s="18">
        <f t="shared" si="0"/>
        <v>382470</v>
      </c>
      <c r="F24" s="18">
        <f t="shared" si="1"/>
        <v>382680</v>
      </c>
      <c r="G24" s="29" t="s">
        <v>288</v>
      </c>
      <c r="H24" s="29" t="s">
        <v>290</v>
      </c>
      <c r="I24" s="29">
        <v>3</v>
      </c>
      <c r="J24" s="29"/>
      <c r="K24" s="31"/>
      <c r="L24" s="30"/>
      <c r="M24" s="30"/>
    </row>
    <row r="25" spans="1:13">
      <c r="A25" s="26" t="s">
        <v>7</v>
      </c>
      <c r="B25" s="27" t="s">
        <v>46</v>
      </c>
      <c r="C25" s="28">
        <v>0.14770833333333333</v>
      </c>
      <c r="D25" s="28">
        <v>0.14776620370370369</v>
      </c>
      <c r="E25" s="18">
        <f t="shared" si="0"/>
        <v>382860</v>
      </c>
      <c r="F25" s="18">
        <f t="shared" si="1"/>
        <v>383010</v>
      </c>
      <c r="G25" s="29" t="s">
        <v>288</v>
      </c>
      <c r="H25" s="29" t="s">
        <v>290</v>
      </c>
      <c r="I25" s="29">
        <v>2</v>
      </c>
      <c r="J25" s="29"/>
      <c r="K25" s="31"/>
      <c r="L25" s="30"/>
      <c r="M25" s="30"/>
    </row>
    <row r="26" spans="1:13">
      <c r="A26" s="26" t="s">
        <v>7</v>
      </c>
      <c r="B26" s="27" t="s">
        <v>48</v>
      </c>
      <c r="C26" s="28">
        <v>0.14780092592592592</v>
      </c>
      <c r="D26" s="28">
        <v>0.14787037037037037</v>
      </c>
      <c r="E26" s="18">
        <f t="shared" si="0"/>
        <v>383100</v>
      </c>
      <c r="F26" s="18">
        <f t="shared" si="1"/>
        <v>383280</v>
      </c>
      <c r="G26" s="29" t="s">
        <v>288</v>
      </c>
      <c r="H26" s="29" t="s">
        <v>290</v>
      </c>
      <c r="I26" s="29">
        <v>2</v>
      </c>
      <c r="J26" s="29"/>
      <c r="K26" s="31"/>
      <c r="L26" s="30"/>
      <c r="M26" s="30"/>
    </row>
    <row r="27" spans="1:13">
      <c r="A27" s="26" t="s">
        <v>7</v>
      </c>
      <c r="B27" s="27" t="s">
        <v>50</v>
      </c>
      <c r="C27" s="28">
        <v>0.1479398148148148</v>
      </c>
      <c r="D27" s="28">
        <v>0.14815972222222223</v>
      </c>
      <c r="E27" s="18">
        <f t="shared" si="0"/>
        <v>383460</v>
      </c>
      <c r="F27" s="18">
        <f t="shared" si="1"/>
        <v>384030</v>
      </c>
      <c r="G27" s="29" t="s">
        <v>288</v>
      </c>
      <c r="H27" s="29" t="s">
        <v>289</v>
      </c>
      <c r="I27" s="29">
        <v>7</v>
      </c>
      <c r="J27" s="29"/>
      <c r="K27" s="31"/>
      <c r="L27" s="30"/>
      <c r="M27" s="30"/>
    </row>
    <row r="28" spans="1:13">
      <c r="A28" s="26" t="s">
        <v>7</v>
      </c>
      <c r="B28" s="27" t="s">
        <v>52</v>
      </c>
      <c r="C28" s="28">
        <v>0.15075231481481483</v>
      </c>
      <c r="D28" s="28">
        <v>0.15082175925925925</v>
      </c>
      <c r="E28" s="18">
        <f t="shared" si="0"/>
        <v>390750</v>
      </c>
      <c r="F28" s="18">
        <f t="shared" si="1"/>
        <v>390930</v>
      </c>
      <c r="G28" s="29" t="s">
        <v>288</v>
      </c>
      <c r="H28" s="29" t="s">
        <v>290</v>
      </c>
      <c r="I28" s="29">
        <v>1.5</v>
      </c>
      <c r="J28" s="29"/>
      <c r="K28" s="31"/>
      <c r="L28" s="30" t="s">
        <v>293</v>
      </c>
      <c r="M28" s="30"/>
    </row>
    <row r="29" spans="1:13">
      <c r="A29" s="26" t="s">
        <v>7</v>
      </c>
      <c r="B29" s="27" t="s">
        <v>54</v>
      </c>
      <c r="C29" s="28">
        <v>0.15112268518518518</v>
      </c>
      <c r="D29" s="28">
        <v>0.15119212962962963</v>
      </c>
      <c r="E29" s="18">
        <f t="shared" si="0"/>
        <v>391710</v>
      </c>
      <c r="F29" s="18">
        <f t="shared" si="1"/>
        <v>391890</v>
      </c>
      <c r="G29" s="29" t="s">
        <v>288</v>
      </c>
      <c r="H29" s="29" t="s">
        <v>290</v>
      </c>
      <c r="I29" s="29">
        <v>1.5</v>
      </c>
      <c r="J29" s="29"/>
      <c r="K29" s="31"/>
      <c r="L29" s="30" t="s">
        <v>293</v>
      </c>
      <c r="M29" s="30"/>
    </row>
    <row r="30" spans="1:13">
      <c r="A30" s="32" t="s">
        <v>7</v>
      </c>
      <c r="B30" s="33" t="s">
        <v>56</v>
      </c>
      <c r="C30" s="34">
        <v>0.15126157407407406</v>
      </c>
      <c r="D30" s="34">
        <v>0.15128472222222222</v>
      </c>
      <c r="E30" s="18">
        <f t="shared" si="0"/>
        <v>392070</v>
      </c>
      <c r="F30" s="18">
        <f t="shared" si="1"/>
        <v>392130</v>
      </c>
      <c r="G30" s="35" t="s">
        <v>288</v>
      </c>
      <c r="H30" s="30"/>
      <c r="I30" s="30"/>
      <c r="J30" s="30"/>
      <c r="K30" s="31"/>
      <c r="L30" s="30"/>
      <c r="M30" s="30"/>
    </row>
    <row r="31" spans="1:13">
      <c r="A31" s="26" t="s">
        <v>7</v>
      </c>
      <c r="B31" s="27" t="s">
        <v>57</v>
      </c>
      <c r="C31" s="28">
        <v>0.15138888888888888</v>
      </c>
      <c r="D31" s="28">
        <v>0.15152777777777779</v>
      </c>
      <c r="E31" s="18">
        <f t="shared" si="0"/>
        <v>392400</v>
      </c>
      <c r="F31" s="18">
        <f t="shared" si="1"/>
        <v>392760</v>
      </c>
      <c r="G31" s="29" t="s">
        <v>288</v>
      </c>
      <c r="H31" s="29" t="s">
        <v>289</v>
      </c>
      <c r="I31" s="29">
        <v>4</v>
      </c>
      <c r="J31" s="29"/>
      <c r="K31" s="31"/>
      <c r="L31" s="30"/>
      <c r="M31" s="30"/>
    </row>
    <row r="32" spans="1:13">
      <c r="A32" s="26" t="s">
        <v>7</v>
      </c>
      <c r="B32" s="27" t="s">
        <v>59</v>
      </c>
      <c r="C32" s="28">
        <v>0.15164351851851851</v>
      </c>
      <c r="D32" s="28">
        <v>0.1517013888888889</v>
      </c>
      <c r="E32" s="18">
        <f t="shared" si="0"/>
        <v>393060</v>
      </c>
      <c r="F32" s="18">
        <f t="shared" si="1"/>
        <v>393210</v>
      </c>
      <c r="G32" s="29" t="s">
        <v>288</v>
      </c>
      <c r="H32" s="29" t="s">
        <v>290</v>
      </c>
      <c r="I32" s="29">
        <v>1</v>
      </c>
      <c r="J32" s="29"/>
      <c r="K32" s="31"/>
      <c r="L32" s="30"/>
      <c r="M32" s="30"/>
    </row>
    <row r="33" spans="1:13">
      <c r="A33" s="26" t="s">
        <v>7</v>
      </c>
      <c r="B33" s="27" t="s">
        <v>60</v>
      </c>
      <c r="C33" s="28">
        <v>0.15180555555555555</v>
      </c>
      <c r="D33" s="28">
        <v>0.15195601851851853</v>
      </c>
      <c r="E33" s="18">
        <f t="shared" si="0"/>
        <v>393480</v>
      </c>
      <c r="F33" s="18">
        <f t="shared" si="1"/>
        <v>393870</v>
      </c>
      <c r="G33" s="29" t="s">
        <v>288</v>
      </c>
      <c r="H33" s="29" t="s">
        <v>289</v>
      </c>
      <c r="I33" s="29">
        <v>4</v>
      </c>
      <c r="J33" s="29"/>
      <c r="K33" s="31"/>
      <c r="L33" s="30"/>
      <c r="M33" s="30"/>
    </row>
    <row r="34" spans="1:13">
      <c r="A34" s="26" t="s">
        <v>7</v>
      </c>
      <c r="B34" s="27" t="s">
        <v>62</v>
      </c>
      <c r="C34" s="28">
        <v>0.15214120370370371</v>
      </c>
      <c r="D34" s="28">
        <v>0.15231481481481482</v>
      </c>
      <c r="E34" s="18">
        <f t="shared" si="0"/>
        <v>394350</v>
      </c>
      <c r="F34" s="18">
        <f t="shared" si="1"/>
        <v>394800</v>
      </c>
      <c r="G34" s="29" t="s">
        <v>288</v>
      </c>
      <c r="H34" s="29" t="s">
        <v>290</v>
      </c>
      <c r="I34" s="29">
        <v>5</v>
      </c>
      <c r="J34" s="29"/>
      <c r="K34" s="31"/>
      <c r="L34" s="30"/>
      <c r="M34" s="30"/>
    </row>
    <row r="35" spans="1:13">
      <c r="A35" s="26" t="s">
        <v>7</v>
      </c>
      <c r="B35" s="27" t="s">
        <v>63</v>
      </c>
      <c r="C35" s="28">
        <v>0.15246527777777777</v>
      </c>
      <c r="D35" s="28">
        <v>0.15256944444444445</v>
      </c>
      <c r="E35" s="18">
        <f t="shared" si="0"/>
        <v>395190</v>
      </c>
      <c r="F35" s="18">
        <f t="shared" si="1"/>
        <v>395460</v>
      </c>
      <c r="G35" s="29" t="s">
        <v>288</v>
      </c>
      <c r="H35" s="29" t="s">
        <v>290</v>
      </c>
      <c r="I35" s="29">
        <v>3.5</v>
      </c>
      <c r="J35" s="29"/>
      <c r="K35" s="38" t="s">
        <v>298</v>
      </c>
      <c r="L35" s="39" t="s">
        <v>299</v>
      </c>
      <c r="M35" s="30"/>
    </row>
    <row r="36" spans="1:13">
      <c r="A36" s="26" t="s">
        <v>7</v>
      </c>
      <c r="B36" s="27" t="s">
        <v>65</v>
      </c>
      <c r="C36" s="28">
        <v>0.15259259259259259</v>
      </c>
      <c r="D36" s="28">
        <v>0.15281249999999999</v>
      </c>
      <c r="E36" s="18">
        <f t="shared" si="0"/>
        <v>395520</v>
      </c>
      <c r="F36" s="18">
        <f t="shared" si="1"/>
        <v>396090</v>
      </c>
      <c r="G36" s="29" t="s">
        <v>288</v>
      </c>
      <c r="H36" s="29" t="s">
        <v>289</v>
      </c>
      <c r="I36" s="29">
        <v>6</v>
      </c>
      <c r="J36" s="29"/>
      <c r="K36" s="31"/>
      <c r="L36" s="30" t="s">
        <v>300</v>
      </c>
      <c r="M36" s="30"/>
    </row>
    <row r="37" spans="1:13" ht="24">
      <c r="A37" s="32" t="s">
        <v>7</v>
      </c>
      <c r="B37" s="33" t="s">
        <v>67</v>
      </c>
      <c r="C37" s="34">
        <v>0.15456018518518519</v>
      </c>
      <c r="D37" s="34">
        <v>0.15457175925925926</v>
      </c>
      <c r="E37" s="18">
        <f t="shared" si="0"/>
        <v>400620</v>
      </c>
      <c r="F37" s="18">
        <f t="shared" si="1"/>
        <v>400650</v>
      </c>
      <c r="G37" s="35" t="s">
        <v>288</v>
      </c>
      <c r="H37" s="30"/>
      <c r="I37" s="30"/>
      <c r="J37" s="30"/>
      <c r="K37" s="38" t="s">
        <v>301</v>
      </c>
      <c r="L37" s="39" t="s">
        <v>302</v>
      </c>
      <c r="M37" s="30"/>
    </row>
    <row r="38" spans="1:13">
      <c r="A38" s="26" t="s">
        <v>7</v>
      </c>
      <c r="B38" s="27" t="s">
        <v>68</v>
      </c>
      <c r="C38" s="28">
        <v>0.1570023148148148</v>
      </c>
      <c r="D38" s="28">
        <v>0.15706018518518519</v>
      </c>
      <c r="E38" s="18">
        <f t="shared" si="0"/>
        <v>406950</v>
      </c>
      <c r="F38" s="18">
        <f t="shared" si="1"/>
        <v>407100</v>
      </c>
      <c r="G38" s="29" t="s">
        <v>288</v>
      </c>
      <c r="H38" s="29" t="s">
        <v>290</v>
      </c>
      <c r="I38" s="29">
        <v>1</v>
      </c>
      <c r="J38" s="29"/>
      <c r="K38" s="31"/>
      <c r="L38" s="30"/>
      <c r="M38" s="30"/>
    </row>
    <row r="39" spans="1:13">
      <c r="A39" s="26" t="s">
        <v>7</v>
      </c>
      <c r="B39" s="27" t="s">
        <v>70</v>
      </c>
      <c r="C39" s="28">
        <v>0.15737268518518518</v>
      </c>
      <c r="D39" s="28">
        <v>0.15751157407407407</v>
      </c>
      <c r="E39" s="18">
        <f t="shared" si="0"/>
        <v>407910</v>
      </c>
      <c r="F39" s="18">
        <f t="shared" si="1"/>
        <v>408270</v>
      </c>
      <c r="G39" s="29" t="s">
        <v>288</v>
      </c>
      <c r="H39" s="29" t="s">
        <v>290</v>
      </c>
      <c r="I39" s="29">
        <v>4</v>
      </c>
      <c r="J39" s="29"/>
      <c r="K39" s="31"/>
      <c r="L39" s="30"/>
      <c r="M39" s="30"/>
    </row>
    <row r="40" spans="1:13" ht="24">
      <c r="A40" s="32" t="s">
        <v>7</v>
      </c>
      <c r="B40" s="33" t="s">
        <v>71</v>
      </c>
      <c r="C40" s="34">
        <v>0.15958333333333333</v>
      </c>
      <c r="D40" s="34">
        <v>0.15960648148148149</v>
      </c>
      <c r="E40" s="18">
        <f t="shared" si="0"/>
        <v>413640</v>
      </c>
      <c r="F40" s="18">
        <f t="shared" si="1"/>
        <v>413700</v>
      </c>
      <c r="G40" s="35" t="s">
        <v>288</v>
      </c>
      <c r="H40" s="30"/>
      <c r="I40" s="30"/>
      <c r="J40" s="30"/>
      <c r="K40" s="38" t="s">
        <v>301</v>
      </c>
      <c r="L40" s="39" t="s">
        <v>303</v>
      </c>
      <c r="M40" s="30"/>
    </row>
    <row r="41" spans="1:13" ht="24">
      <c r="A41" s="32" t="s">
        <v>7</v>
      </c>
      <c r="B41" s="33" t="s">
        <v>72</v>
      </c>
      <c r="C41" s="34">
        <v>0.16013888888888889</v>
      </c>
      <c r="D41" s="34">
        <v>0.16017361111111111</v>
      </c>
      <c r="E41" s="18">
        <f t="shared" si="0"/>
        <v>415080</v>
      </c>
      <c r="F41" s="18">
        <f t="shared" si="1"/>
        <v>415170</v>
      </c>
      <c r="G41" s="35" t="s">
        <v>288</v>
      </c>
      <c r="H41" s="30"/>
      <c r="I41" s="30"/>
      <c r="J41" s="30"/>
      <c r="K41" s="38" t="s">
        <v>301</v>
      </c>
      <c r="L41" s="39" t="s">
        <v>303</v>
      </c>
      <c r="M41" s="30"/>
    </row>
    <row r="42" spans="1:13">
      <c r="A42" s="26" t="s">
        <v>7</v>
      </c>
      <c r="B42" s="27" t="s">
        <v>74</v>
      </c>
      <c r="C42" s="28">
        <v>0.16138888888888889</v>
      </c>
      <c r="D42" s="28">
        <v>0.16142361111111111</v>
      </c>
      <c r="E42" s="18">
        <f t="shared" si="0"/>
        <v>418320</v>
      </c>
      <c r="F42" s="18">
        <f t="shared" si="1"/>
        <v>418410</v>
      </c>
      <c r="G42" s="29" t="s">
        <v>288</v>
      </c>
      <c r="H42" s="29" t="s">
        <v>289</v>
      </c>
      <c r="I42" s="29">
        <v>1</v>
      </c>
      <c r="J42" s="29"/>
      <c r="K42" s="31"/>
      <c r="L42" s="30"/>
      <c r="M42" s="30"/>
    </row>
    <row r="43" spans="1:13">
      <c r="A43" s="26" t="s">
        <v>7</v>
      </c>
      <c r="B43" s="27" t="s">
        <v>76</v>
      </c>
      <c r="C43" s="28">
        <v>0.16219907407407408</v>
      </c>
      <c r="D43" s="28">
        <v>0.16229166666666667</v>
      </c>
      <c r="E43" s="18">
        <f t="shared" si="0"/>
        <v>420420</v>
      </c>
      <c r="F43" s="18">
        <f t="shared" si="1"/>
        <v>420660</v>
      </c>
      <c r="G43" s="29" t="s">
        <v>288</v>
      </c>
      <c r="H43" s="29" t="s">
        <v>290</v>
      </c>
      <c r="I43" s="29">
        <v>2</v>
      </c>
      <c r="J43" s="29"/>
      <c r="K43" s="31"/>
      <c r="L43" s="30"/>
      <c r="M43" s="30"/>
    </row>
    <row r="44" spans="1:13">
      <c r="A44" s="32" t="s">
        <v>7</v>
      </c>
      <c r="B44" s="33" t="s">
        <v>77</v>
      </c>
      <c r="C44" s="34">
        <v>0.16233796296296296</v>
      </c>
      <c r="D44" s="34">
        <v>0.16236111111111112</v>
      </c>
      <c r="E44" s="18">
        <f t="shared" si="0"/>
        <v>420780</v>
      </c>
      <c r="F44" s="18">
        <f t="shared" si="1"/>
        <v>420840</v>
      </c>
      <c r="G44" s="35" t="s">
        <v>288</v>
      </c>
      <c r="H44" s="30"/>
      <c r="I44" s="30"/>
      <c r="J44" s="30"/>
      <c r="K44" s="31"/>
      <c r="L44" s="30"/>
      <c r="M44" s="30"/>
    </row>
    <row r="45" spans="1:13">
      <c r="A45" s="26" t="s">
        <v>7</v>
      </c>
      <c r="B45" s="27" t="s">
        <v>78</v>
      </c>
      <c r="C45" s="28">
        <v>0.16243055555555555</v>
      </c>
      <c r="D45" s="28">
        <v>0.16258101851851853</v>
      </c>
      <c r="E45" s="18">
        <f t="shared" si="0"/>
        <v>421020</v>
      </c>
      <c r="F45" s="18">
        <f t="shared" si="1"/>
        <v>421410</v>
      </c>
      <c r="G45" s="29" t="s">
        <v>288</v>
      </c>
      <c r="H45" s="29" t="s">
        <v>289</v>
      </c>
      <c r="I45" s="29">
        <v>3</v>
      </c>
      <c r="J45" s="29"/>
      <c r="K45" s="31"/>
      <c r="L45" s="30"/>
      <c r="M45" s="30"/>
    </row>
    <row r="46" spans="1:13" ht="24">
      <c r="A46" s="26" t="s">
        <v>7</v>
      </c>
      <c r="B46" s="27" t="s">
        <v>80</v>
      </c>
      <c r="C46" s="28">
        <v>0.16302083333333334</v>
      </c>
      <c r="D46" s="28">
        <v>0.16311342592592593</v>
      </c>
      <c r="E46" s="18">
        <f t="shared" si="0"/>
        <v>422550</v>
      </c>
      <c r="F46" s="18">
        <f t="shared" si="1"/>
        <v>422790</v>
      </c>
      <c r="G46" s="29" t="s">
        <v>288</v>
      </c>
      <c r="H46" s="29" t="s">
        <v>290</v>
      </c>
      <c r="I46" s="29">
        <v>1.5</v>
      </c>
      <c r="J46" s="29"/>
      <c r="K46" s="31"/>
      <c r="L46" s="29" t="s">
        <v>304</v>
      </c>
      <c r="M46" s="30"/>
    </row>
    <row r="47" spans="1:13">
      <c r="A47" s="26" t="s">
        <v>7</v>
      </c>
      <c r="B47" s="27" t="s">
        <v>82</v>
      </c>
      <c r="C47" s="28">
        <v>0.16335648148148149</v>
      </c>
      <c r="D47" s="28">
        <v>0.16343750000000001</v>
      </c>
      <c r="E47" s="18">
        <f t="shared" si="0"/>
        <v>423420</v>
      </c>
      <c r="F47" s="18">
        <f t="shared" si="1"/>
        <v>423630</v>
      </c>
      <c r="G47" s="29" t="s">
        <v>288</v>
      </c>
      <c r="H47" s="29" t="s">
        <v>290</v>
      </c>
      <c r="I47" s="29">
        <v>2</v>
      </c>
      <c r="J47" s="29"/>
      <c r="K47" s="31"/>
      <c r="L47" s="30"/>
      <c r="M47" s="30"/>
    </row>
    <row r="48" spans="1:13">
      <c r="A48" s="26" t="s">
        <v>7</v>
      </c>
      <c r="B48" s="27" t="s">
        <v>84</v>
      </c>
      <c r="C48" s="28">
        <v>0.16358796296296296</v>
      </c>
      <c r="D48" s="28">
        <v>0.16365740740740742</v>
      </c>
      <c r="E48" s="18">
        <f t="shared" si="0"/>
        <v>424020</v>
      </c>
      <c r="F48" s="18">
        <f t="shared" si="1"/>
        <v>424200</v>
      </c>
      <c r="G48" s="29" t="s">
        <v>288</v>
      </c>
      <c r="H48" s="29" t="s">
        <v>290</v>
      </c>
      <c r="I48" s="29">
        <v>1</v>
      </c>
      <c r="J48" s="29"/>
      <c r="K48" s="31"/>
      <c r="L48" s="30"/>
      <c r="M48" s="30"/>
    </row>
    <row r="49" spans="1:13">
      <c r="A49" s="26" t="s">
        <v>7</v>
      </c>
      <c r="B49" s="27" t="s">
        <v>85</v>
      </c>
      <c r="C49" s="28">
        <v>0.16407407407407407</v>
      </c>
      <c r="D49" s="28">
        <v>0.16423611111111111</v>
      </c>
      <c r="E49" s="18">
        <f t="shared" si="0"/>
        <v>425280</v>
      </c>
      <c r="F49" s="18">
        <f t="shared" si="1"/>
        <v>425700</v>
      </c>
      <c r="G49" s="29" t="s">
        <v>288</v>
      </c>
      <c r="H49" s="29" t="s">
        <v>289</v>
      </c>
      <c r="I49" s="29">
        <v>4</v>
      </c>
      <c r="J49" s="29"/>
      <c r="K49" s="31"/>
      <c r="L49" s="30"/>
      <c r="M49" s="30"/>
    </row>
    <row r="50" spans="1:13">
      <c r="A50" s="32" t="s">
        <v>7</v>
      </c>
      <c r="B50" s="33" t="s">
        <v>87</v>
      </c>
      <c r="C50" s="34">
        <v>0.16436342592592593</v>
      </c>
      <c r="D50" s="34">
        <v>0.16438657407407409</v>
      </c>
      <c r="E50" s="18">
        <f t="shared" si="0"/>
        <v>426030</v>
      </c>
      <c r="F50" s="18">
        <f t="shared" si="1"/>
        <v>426090</v>
      </c>
      <c r="G50" s="35" t="s">
        <v>288</v>
      </c>
      <c r="H50" s="30"/>
      <c r="I50" s="30"/>
      <c r="J50" s="30"/>
      <c r="K50" s="31"/>
      <c r="L50" s="30"/>
      <c r="M50" s="30"/>
    </row>
    <row r="51" spans="1:13" ht="24">
      <c r="A51" s="32" t="s">
        <v>7</v>
      </c>
      <c r="B51" s="33" t="s">
        <v>89</v>
      </c>
      <c r="C51" s="34">
        <v>0.16450231481481481</v>
      </c>
      <c r="D51" s="34">
        <v>0.16453703703703704</v>
      </c>
      <c r="E51" s="40">
        <f t="shared" si="0"/>
        <v>426390</v>
      </c>
      <c r="F51" s="40">
        <f t="shared" si="1"/>
        <v>426480</v>
      </c>
      <c r="G51" s="35" t="s">
        <v>288</v>
      </c>
      <c r="H51" s="35" t="s">
        <v>289</v>
      </c>
      <c r="I51" s="35">
        <v>1</v>
      </c>
      <c r="J51" s="29"/>
      <c r="K51" s="38" t="s">
        <v>305</v>
      </c>
      <c r="L51" s="29" t="s">
        <v>306</v>
      </c>
      <c r="M51" s="30"/>
    </row>
    <row r="52" spans="1:13">
      <c r="A52" s="26" t="s">
        <v>7</v>
      </c>
      <c r="B52" s="27" t="s">
        <v>91</v>
      </c>
      <c r="C52" s="28">
        <v>0.16464120370370369</v>
      </c>
      <c r="D52" s="28">
        <v>0.1648148148148148</v>
      </c>
      <c r="E52" s="18">
        <f t="shared" si="0"/>
        <v>426750</v>
      </c>
      <c r="F52" s="18">
        <f t="shared" si="1"/>
        <v>427200</v>
      </c>
      <c r="G52" s="29" t="s">
        <v>288</v>
      </c>
      <c r="H52" s="29" t="s">
        <v>289</v>
      </c>
      <c r="I52" s="29">
        <v>4</v>
      </c>
      <c r="J52" s="29"/>
      <c r="K52" s="31"/>
      <c r="L52" s="30"/>
      <c r="M52" s="30"/>
    </row>
    <row r="53" spans="1:13">
      <c r="A53" s="26" t="s">
        <v>7</v>
      </c>
      <c r="B53" s="27" t="s">
        <v>93</v>
      </c>
      <c r="C53" s="28">
        <v>0.16517361111111112</v>
      </c>
      <c r="D53" s="28">
        <v>0.16526620370370371</v>
      </c>
      <c r="E53" s="18">
        <f t="shared" si="0"/>
        <v>428130</v>
      </c>
      <c r="F53" s="18">
        <f t="shared" si="1"/>
        <v>428370</v>
      </c>
      <c r="G53" s="29" t="s">
        <v>288</v>
      </c>
      <c r="H53" s="29" t="s">
        <v>289</v>
      </c>
      <c r="I53" s="29">
        <v>3</v>
      </c>
      <c r="J53" s="29"/>
      <c r="K53" s="31"/>
      <c r="L53" s="30"/>
      <c r="M53" s="30"/>
    </row>
    <row r="54" spans="1:13">
      <c r="A54" s="26" t="s">
        <v>7</v>
      </c>
      <c r="B54" s="27" t="s">
        <v>94</v>
      </c>
      <c r="C54" s="28">
        <v>0.16533564814814813</v>
      </c>
      <c r="D54" s="28">
        <v>0.16537037037037036</v>
      </c>
      <c r="E54" s="18">
        <f t="shared" si="0"/>
        <v>428550</v>
      </c>
      <c r="F54" s="18">
        <f t="shared" si="1"/>
        <v>428640</v>
      </c>
      <c r="G54" s="29" t="s">
        <v>288</v>
      </c>
      <c r="H54" s="29" t="s">
        <v>290</v>
      </c>
      <c r="I54" s="29">
        <v>1</v>
      </c>
      <c r="J54" s="29"/>
      <c r="K54" s="31"/>
      <c r="L54" s="30"/>
      <c r="M54" s="30"/>
    </row>
    <row r="55" spans="1:13">
      <c r="A55" s="26" t="s">
        <v>7</v>
      </c>
      <c r="B55" s="27" t="s">
        <v>96</v>
      </c>
      <c r="C55" s="28">
        <v>0.16561342592592593</v>
      </c>
      <c r="D55" s="28">
        <v>0.16572916666666668</v>
      </c>
      <c r="E55" s="18">
        <f t="shared" si="0"/>
        <v>429270</v>
      </c>
      <c r="F55" s="18">
        <f t="shared" si="1"/>
        <v>429570</v>
      </c>
      <c r="G55" s="29" t="s">
        <v>288</v>
      </c>
      <c r="H55" s="29" t="s">
        <v>290</v>
      </c>
      <c r="I55" s="29">
        <v>3</v>
      </c>
      <c r="J55" s="29"/>
      <c r="K55" s="31"/>
      <c r="L55" s="30"/>
      <c r="M55" s="30"/>
    </row>
    <row r="56" spans="1:13">
      <c r="A56" s="26" t="s">
        <v>7</v>
      </c>
      <c r="B56" s="27" t="s">
        <v>98</v>
      </c>
      <c r="C56" s="28">
        <v>0.16631944444444444</v>
      </c>
      <c r="D56" s="28">
        <v>0.16645833333333335</v>
      </c>
      <c r="E56" s="18">
        <f t="shared" si="0"/>
        <v>431100</v>
      </c>
      <c r="F56" s="18">
        <f t="shared" si="1"/>
        <v>431460</v>
      </c>
      <c r="G56" s="29" t="s">
        <v>288</v>
      </c>
      <c r="H56" s="29" t="s">
        <v>289</v>
      </c>
      <c r="I56" s="29">
        <v>3</v>
      </c>
      <c r="J56" s="29"/>
      <c r="K56" s="31"/>
      <c r="L56" s="30"/>
      <c r="M56" s="30"/>
    </row>
    <row r="57" spans="1:13">
      <c r="A57" s="26" t="s">
        <v>7</v>
      </c>
      <c r="B57" s="27" t="s">
        <v>100</v>
      </c>
      <c r="C57" s="28">
        <v>0.16653935185185184</v>
      </c>
      <c r="D57" s="28">
        <v>0.16675925925925925</v>
      </c>
      <c r="E57" s="18">
        <f t="shared" si="0"/>
        <v>431670</v>
      </c>
      <c r="F57" s="18">
        <f t="shared" si="1"/>
        <v>432240</v>
      </c>
      <c r="G57" s="29" t="s">
        <v>288</v>
      </c>
      <c r="H57" s="29" t="s">
        <v>290</v>
      </c>
      <c r="I57" s="29">
        <v>6.5</v>
      </c>
      <c r="J57" s="29"/>
      <c r="K57" s="38" t="s">
        <v>307</v>
      </c>
      <c r="L57" s="30" t="s">
        <v>308</v>
      </c>
      <c r="M57" s="30"/>
    </row>
    <row r="58" spans="1:13">
      <c r="A58" s="26" t="s">
        <v>7</v>
      </c>
      <c r="B58" s="27" t="s">
        <v>101</v>
      </c>
      <c r="C58" s="28">
        <v>0.16694444444444445</v>
      </c>
      <c r="D58" s="28">
        <v>0.16708333333333333</v>
      </c>
      <c r="E58" s="18">
        <f t="shared" si="0"/>
        <v>432720</v>
      </c>
      <c r="F58" s="18">
        <f t="shared" si="1"/>
        <v>433080</v>
      </c>
      <c r="G58" s="29" t="s">
        <v>288</v>
      </c>
      <c r="H58" s="29" t="s">
        <v>290</v>
      </c>
      <c r="I58" s="29">
        <v>3</v>
      </c>
      <c r="J58" s="29"/>
      <c r="K58" s="31"/>
      <c r="L58" s="30"/>
      <c r="M58" s="30"/>
    </row>
    <row r="59" spans="1:13">
      <c r="A59" s="26" t="s">
        <v>7</v>
      </c>
      <c r="B59" s="27" t="s">
        <v>103</v>
      </c>
      <c r="C59" s="28">
        <v>0.16780092592592594</v>
      </c>
      <c r="D59" s="28">
        <v>0.16799768518518518</v>
      </c>
      <c r="E59" s="18">
        <f t="shared" si="0"/>
        <v>434940</v>
      </c>
      <c r="F59" s="18">
        <f t="shared" si="1"/>
        <v>435450</v>
      </c>
      <c r="G59" s="29" t="s">
        <v>288</v>
      </c>
      <c r="H59" s="29" t="s">
        <v>289</v>
      </c>
      <c r="I59" s="29">
        <v>5</v>
      </c>
      <c r="J59" s="29"/>
      <c r="K59" s="31"/>
      <c r="L59" s="30"/>
      <c r="M59" s="30"/>
    </row>
    <row r="60" spans="1:13">
      <c r="A60" s="26" t="s">
        <v>7</v>
      </c>
      <c r="B60" s="27" t="s">
        <v>104</v>
      </c>
      <c r="C60" s="28">
        <v>0.16842592592592592</v>
      </c>
      <c r="D60" s="28">
        <v>0.16855324074074074</v>
      </c>
      <c r="E60" s="18">
        <f t="shared" si="0"/>
        <v>436560</v>
      </c>
      <c r="F60" s="18">
        <f t="shared" si="1"/>
        <v>436890</v>
      </c>
      <c r="G60" s="29" t="s">
        <v>288</v>
      </c>
      <c r="H60" s="29" t="s">
        <v>289</v>
      </c>
      <c r="I60" s="29">
        <v>3</v>
      </c>
      <c r="J60" s="29"/>
      <c r="K60" s="31"/>
      <c r="L60" s="30"/>
      <c r="M60" s="30"/>
    </row>
    <row r="61" spans="1:13">
      <c r="A61" s="26" t="s">
        <v>7</v>
      </c>
      <c r="B61" s="27" t="s">
        <v>106</v>
      </c>
      <c r="C61" s="28">
        <v>0.16866898148148149</v>
      </c>
      <c r="D61" s="28">
        <v>0.16877314814814814</v>
      </c>
      <c r="E61" s="18">
        <f t="shared" si="0"/>
        <v>437190</v>
      </c>
      <c r="F61" s="18">
        <f t="shared" si="1"/>
        <v>437460</v>
      </c>
      <c r="G61" s="29" t="s">
        <v>288</v>
      </c>
      <c r="H61" s="29" t="s">
        <v>290</v>
      </c>
      <c r="I61" s="29">
        <v>2</v>
      </c>
      <c r="J61" s="29"/>
      <c r="K61" s="31"/>
      <c r="L61" s="30"/>
      <c r="M61" s="30"/>
    </row>
    <row r="62" spans="1:13">
      <c r="A62" s="26" t="s">
        <v>7</v>
      </c>
      <c r="B62" s="27" t="s">
        <v>108</v>
      </c>
      <c r="C62" s="28">
        <v>0.16952546296296298</v>
      </c>
      <c r="D62" s="28">
        <v>0.16978009259259258</v>
      </c>
      <c r="E62" s="18">
        <f t="shared" si="0"/>
        <v>439410</v>
      </c>
      <c r="F62" s="18">
        <f t="shared" si="1"/>
        <v>440070</v>
      </c>
      <c r="G62" s="29" t="s">
        <v>288</v>
      </c>
      <c r="H62" s="29" t="s">
        <v>289</v>
      </c>
      <c r="I62" s="29">
        <v>6</v>
      </c>
      <c r="J62" s="29"/>
      <c r="K62" s="31"/>
      <c r="L62" s="30"/>
      <c r="M62" s="30"/>
    </row>
    <row r="63" spans="1:13">
      <c r="A63" s="32" t="s">
        <v>7</v>
      </c>
      <c r="B63" s="33" t="s">
        <v>110</v>
      </c>
      <c r="C63" s="34">
        <v>0.17038194444444443</v>
      </c>
      <c r="D63" s="34">
        <v>0.17042824074074073</v>
      </c>
      <c r="E63" s="18">
        <f t="shared" si="0"/>
        <v>441630</v>
      </c>
      <c r="F63" s="18">
        <f t="shared" si="1"/>
        <v>441750</v>
      </c>
      <c r="G63" s="35" t="s">
        <v>288</v>
      </c>
      <c r="H63" s="30"/>
      <c r="I63" s="30"/>
      <c r="J63" s="30"/>
      <c r="K63" s="31"/>
      <c r="L63" s="30"/>
      <c r="M63" s="30"/>
    </row>
    <row r="64" spans="1:13">
      <c r="A64" s="26" t="s">
        <v>7</v>
      </c>
      <c r="B64" s="27" t="s">
        <v>111</v>
      </c>
      <c r="C64" s="28">
        <v>0.17048611111111112</v>
      </c>
      <c r="D64" s="28">
        <v>0.17064814814814816</v>
      </c>
      <c r="E64" s="18">
        <f t="shared" si="0"/>
        <v>441900</v>
      </c>
      <c r="F64" s="18">
        <f t="shared" si="1"/>
        <v>442320</v>
      </c>
      <c r="G64" s="29" t="s">
        <v>288</v>
      </c>
      <c r="H64" s="29" t="s">
        <v>290</v>
      </c>
      <c r="I64" s="29">
        <v>4</v>
      </c>
      <c r="J64" s="29"/>
      <c r="K64" s="31"/>
      <c r="L64" s="30"/>
      <c r="M64" s="30"/>
    </row>
    <row r="65" spans="1:13">
      <c r="A65" s="26" t="s">
        <v>7</v>
      </c>
      <c r="B65" s="27" t="s">
        <v>112</v>
      </c>
      <c r="C65" s="28">
        <v>0.17149305555555555</v>
      </c>
      <c r="D65" s="28">
        <v>0.17155092592592591</v>
      </c>
      <c r="E65" s="18">
        <f t="shared" si="0"/>
        <v>444510</v>
      </c>
      <c r="F65" s="18">
        <f t="shared" si="1"/>
        <v>444660</v>
      </c>
      <c r="G65" s="29" t="s">
        <v>288</v>
      </c>
      <c r="H65" s="29" t="s">
        <v>289</v>
      </c>
      <c r="I65" s="29">
        <v>1</v>
      </c>
      <c r="J65" s="29"/>
      <c r="K65" s="31"/>
      <c r="L65" s="30"/>
      <c r="M65" s="30"/>
    </row>
    <row r="66" spans="1:13">
      <c r="A66" s="26" t="s">
        <v>7</v>
      </c>
      <c r="B66" s="27" t="s">
        <v>114</v>
      </c>
      <c r="C66" s="28">
        <v>0.17185185185185184</v>
      </c>
      <c r="D66" s="28">
        <v>0.17195601851851852</v>
      </c>
      <c r="E66" s="18">
        <f t="shared" si="0"/>
        <v>445440</v>
      </c>
      <c r="F66" s="18">
        <f t="shared" si="1"/>
        <v>445710</v>
      </c>
      <c r="G66" s="29" t="s">
        <v>288</v>
      </c>
      <c r="H66" s="29" t="s">
        <v>289</v>
      </c>
      <c r="I66" s="29">
        <v>2</v>
      </c>
      <c r="J66" s="29"/>
      <c r="K66" s="31"/>
      <c r="L66" s="30"/>
      <c r="M66" s="30"/>
    </row>
    <row r="67" spans="1:13">
      <c r="A67" s="26" t="s">
        <v>7</v>
      </c>
      <c r="B67" s="27" t="s">
        <v>116</v>
      </c>
      <c r="C67" s="28">
        <v>0.17319444444444446</v>
      </c>
      <c r="D67" s="28">
        <v>0.17340277777777777</v>
      </c>
      <c r="E67" s="18">
        <f t="shared" ref="E67:E90" si="2">ROUND(C67*86400*30, 0)</f>
        <v>448920</v>
      </c>
      <c r="F67" s="18">
        <f t="shared" ref="F67:F90" si="3">ROUND(D67*86400*30, 0)</f>
        <v>449460</v>
      </c>
      <c r="G67" s="29" t="s">
        <v>288</v>
      </c>
      <c r="H67" s="29" t="s">
        <v>290</v>
      </c>
      <c r="I67" s="29">
        <v>5</v>
      </c>
      <c r="J67" s="29"/>
      <c r="K67" s="31"/>
      <c r="L67" s="30"/>
      <c r="M67" s="30"/>
    </row>
    <row r="68" spans="1:13">
      <c r="A68" s="26" t="s">
        <v>7</v>
      </c>
      <c r="B68" s="27" t="s">
        <v>117</v>
      </c>
      <c r="C68" s="28">
        <v>0.1738425925925926</v>
      </c>
      <c r="D68" s="28">
        <v>0.17408564814814814</v>
      </c>
      <c r="E68" s="18">
        <f t="shared" si="2"/>
        <v>450600</v>
      </c>
      <c r="F68" s="18">
        <f t="shared" si="3"/>
        <v>451230</v>
      </c>
      <c r="G68" s="29" t="s">
        <v>288</v>
      </c>
      <c r="H68" s="29" t="s">
        <v>289</v>
      </c>
      <c r="I68" s="29">
        <v>6</v>
      </c>
      <c r="J68" s="29"/>
      <c r="K68" s="31"/>
      <c r="L68" s="30"/>
      <c r="M68" s="30"/>
    </row>
    <row r="69" spans="1:13">
      <c r="A69" s="26" t="s">
        <v>7</v>
      </c>
      <c r="B69" s="27" t="s">
        <v>119</v>
      </c>
      <c r="C69" s="28">
        <v>0.17841435185185187</v>
      </c>
      <c r="D69" s="28">
        <v>0.17854166666666665</v>
      </c>
      <c r="E69" s="18">
        <f t="shared" si="2"/>
        <v>462450</v>
      </c>
      <c r="F69" s="18">
        <f t="shared" si="3"/>
        <v>462780</v>
      </c>
      <c r="G69" s="29" t="s">
        <v>288</v>
      </c>
      <c r="H69" s="29" t="s">
        <v>289</v>
      </c>
      <c r="I69" s="29">
        <v>2</v>
      </c>
      <c r="J69" s="29"/>
      <c r="K69" s="31"/>
      <c r="L69" s="30"/>
      <c r="M69" s="30"/>
    </row>
    <row r="70" spans="1:13">
      <c r="A70" s="26" t="s">
        <v>7</v>
      </c>
      <c r="B70" s="27" t="s">
        <v>121</v>
      </c>
      <c r="C70" s="28">
        <v>0.1796875</v>
      </c>
      <c r="D70" s="28">
        <v>0.17980324074074075</v>
      </c>
      <c r="E70" s="18">
        <f t="shared" si="2"/>
        <v>465750</v>
      </c>
      <c r="F70" s="18">
        <f t="shared" si="3"/>
        <v>466050</v>
      </c>
      <c r="G70" s="29" t="s">
        <v>288</v>
      </c>
      <c r="H70" s="29" t="s">
        <v>289</v>
      </c>
      <c r="I70" s="29">
        <v>2</v>
      </c>
      <c r="J70" s="29"/>
      <c r="K70" s="31"/>
      <c r="L70" s="30"/>
      <c r="M70" s="30"/>
    </row>
    <row r="71" spans="1:13">
      <c r="A71" s="26" t="s">
        <v>7</v>
      </c>
      <c r="B71" s="27" t="s">
        <v>122</v>
      </c>
      <c r="C71" s="28">
        <v>0.17989583333333334</v>
      </c>
      <c r="D71" s="28">
        <v>0.18001157407407409</v>
      </c>
      <c r="E71" s="18">
        <f t="shared" si="2"/>
        <v>466290</v>
      </c>
      <c r="F71" s="18">
        <f t="shared" si="3"/>
        <v>466590</v>
      </c>
      <c r="G71" s="29" t="s">
        <v>288</v>
      </c>
      <c r="H71" s="29" t="s">
        <v>289</v>
      </c>
      <c r="I71" s="29">
        <v>3</v>
      </c>
      <c r="J71" s="29"/>
      <c r="K71" s="31"/>
      <c r="L71" s="30"/>
      <c r="M71" s="30"/>
    </row>
    <row r="72" spans="1:13" ht="42.75" customHeight="1">
      <c r="A72" s="26" t="s">
        <v>7</v>
      </c>
      <c r="B72" s="27" t="s">
        <v>124</v>
      </c>
      <c r="C72" s="28">
        <v>0.18020833333333333</v>
      </c>
      <c r="D72" s="28">
        <v>0.18053240740740742</v>
      </c>
      <c r="E72" s="18">
        <f t="shared" si="2"/>
        <v>467100</v>
      </c>
      <c r="F72" s="18">
        <f t="shared" si="3"/>
        <v>467940</v>
      </c>
      <c r="G72" s="29" t="s">
        <v>288</v>
      </c>
      <c r="H72" s="29" t="s">
        <v>290</v>
      </c>
      <c r="I72" s="29">
        <v>8.5</v>
      </c>
      <c r="J72" s="29"/>
      <c r="K72" s="38" t="s">
        <v>309</v>
      </c>
      <c r="L72" s="29" t="s">
        <v>310</v>
      </c>
      <c r="M72" s="30"/>
    </row>
    <row r="73" spans="1:13" ht="24">
      <c r="A73" s="32" t="s">
        <v>7</v>
      </c>
      <c r="B73" s="33" t="s">
        <v>126</v>
      </c>
      <c r="C73" s="34">
        <v>0.18383101851851852</v>
      </c>
      <c r="D73" s="34">
        <v>0.18390046296296297</v>
      </c>
      <c r="E73" s="40">
        <f t="shared" si="2"/>
        <v>476490</v>
      </c>
      <c r="F73" s="40">
        <f t="shared" si="3"/>
        <v>476670</v>
      </c>
      <c r="G73" s="35" t="s">
        <v>311</v>
      </c>
      <c r="H73" s="35" t="s">
        <v>289</v>
      </c>
      <c r="I73" s="35">
        <v>1</v>
      </c>
      <c r="J73" s="35"/>
      <c r="K73" s="38" t="s">
        <v>312</v>
      </c>
      <c r="L73" s="29" t="s">
        <v>313</v>
      </c>
      <c r="M73" s="30"/>
    </row>
    <row r="74" spans="1:13">
      <c r="A74" s="26" t="s">
        <v>7</v>
      </c>
      <c r="B74" s="27" t="s">
        <v>128</v>
      </c>
      <c r="C74" s="28">
        <v>0.1842361111111111</v>
      </c>
      <c r="D74" s="28">
        <v>0.18439814814814814</v>
      </c>
      <c r="E74" s="18">
        <f t="shared" si="2"/>
        <v>477540</v>
      </c>
      <c r="F74" s="18">
        <f t="shared" si="3"/>
        <v>477960</v>
      </c>
      <c r="G74" s="29" t="s">
        <v>288</v>
      </c>
      <c r="H74" s="29" t="s">
        <v>289</v>
      </c>
      <c r="I74" s="29">
        <v>4</v>
      </c>
      <c r="J74" s="29"/>
      <c r="K74" s="31"/>
      <c r="L74" s="30"/>
      <c r="M74" s="30"/>
    </row>
    <row r="75" spans="1:13">
      <c r="A75" s="26" t="s">
        <v>7</v>
      </c>
      <c r="B75" s="27" t="s">
        <v>130</v>
      </c>
      <c r="C75" s="28">
        <v>0.18450231481481483</v>
      </c>
      <c r="D75" s="28">
        <v>0.18476851851851853</v>
      </c>
      <c r="E75" s="18">
        <f t="shared" si="2"/>
        <v>478230</v>
      </c>
      <c r="F75" s="18">
        <f t="shared" si="3"/>
        <v>478920</v>
      </c>
      <c r="G75" s="29" t="s">
        <v>288</v>
      </c>
      <c r="H75" s="29" t="s">
        <v>289</v>
      </c>
      <c r="I75" s="29">
        <v>7</v>
      </c>
      <c r="J75" s="29"/>
      <c r="K75" s="31"/>
      <c r="L75" s="30"/>
      <c r="M75" s="30"/>
    </row>
    <row r="76" spans="1:13">
      <c r="A76" s="26" t="s">
        <v>7</v>
      </c>
      <c r="B76" s="27" t="s">
        <v>132</v>
      </c>
      <c r="C76" s="28">
        <v>0.18876157407407407</v>
      </c>
      <c r="D76" s="28">
        <v>0.18899305555555557</v>
      </c>
      <c r="E76" s="18">
        <f t="shared" si="2"/>
        <v>489270</v>
      </c>
      <c r="F76" s="18">
        <f t="shared" si="3"/>
        <v>489870</v>
      </c>
      <c r="G76" s="29" t="s">
        <v>288</v>
      </c>
      <c r="H76" s="29" t="s">
        <v>290</v>
      </c>
      <c r="I76" s="29">
        <v>6</v>
      </c>
      <c r="J76" s="29"/>
      <c r="K76" s="31"/>
      <c r="L76" s="30"/>
      <c r="M76" s="30"/>
    </row>
    <row r="77" spans="1:13">
      <c r="A77" s="26" t="s">
        <v>7</v>
      </c>
      <c r="B77" s="27" t="s">
        <v>133</v>
      </c>
      <c r="C77" s="28">
        <v>0.18918981481481481</v>
      </c>
      <c r="D77" s="28">
        <v>0.18927083333333333</v>
      </c>
      <c r="E77" s="18">
        <f t="shared" si="2"/>
        <v>490380</v>
      </c>
      <c r="F77" s="18">
        <f t="shared" si="3"/>
        <v>490590</v>
      </c>
      <c r="G77" s="29" t="s">
        <v>288</v>
      </c>
      <c r="H77" s="29" t="s">
        <v>290</v>
      </c>
      <c r="I77" s="29">
        <v>2</v>
      </c>
      <c r="J77" s="29"/>
      <c r="K77" s="31"/>
      <c r="L77" s="30"/>
      <c r="M77" s="30"/>
    </row>
    <row r="78" spans="1:13">
      <c r="A78" s="26" t="s">
        <v>7</v>
      </c>
      <c r="B78" s="27" t="s">
        <v>135</v>
      </c>
      <c r="C78" s="28">
        <v>0.18952546296296297</v>
      </c>
      <c r="D78" s="28">
        <v>0.18969907407407408</v>
      </c>
      <c r="E78" s="18">
        <f t="shared" si="2"/>
        <v>491250</v>
      </c>
      <c r="F78" s="18">
        <f t="shared" si="3"/>
        <v>491700</v>
      </c>
      <c r="G78" s="29" t="s">
        <v>288</v>
      </c>
      <c r="H78" s="29" t="s">
        <v>289</v>
      </c>
      <c r="I78" s="29">
        <v>4</v>
      </c>
      <c r="J78" s="29"/>
      <c r="K78" s="31"/>
      <c r="L78" s="30"/>
      <c r="M78" s="30"/>
    </row>
    <row r="79" spans="1:13">
      <c r="A79" s="26" t="s">
        <v>7</v>
      </c>
      <c r="B79" s="27" t="s">
        <v>136</v>
      </c>
      <c r="C79" s="28">
        <v>0.19446759259259258</v>
      </c>
      <c r="D79" s="28">
        <v>0.19471064814814815</v>
      </c>
      <c r="E79" s="18">
        <f t="shared" si="2"/>
        <v>504060</v>
      </c>
      <c r="F79" s="18">
        <f t="shared" si="3"/>
        <v>504690</v>
      </c>
      <c r="G79" s="29" t="s">
        <v>288</v>
      </c>
      <c r="H79" s="29" t="s">
        <v>289</v>
      </c>
      <c r="I79" s="29">
        <v>6</v>
      </c>
      <c r="J79" s="29"/>
      <c r="K79" s="31"/>
      <c r="L79" s="30"/>
      <c r="M79" s="30"/>
    </row>
    <row r="80" spans="1:13">
      <c r="A80" s="26" t="s">
        <v>7</v>
      </c>
      <c r="B80" s="27" t="s">
        <v>137</v>
      </c>
      <c r="C80" s="28">
        <v>0.1948148148148148</v>
      </c>
      <c r="D80" s="28">
        <v>0.19512731481481482</v>
      </c>
      <c r="E80" s="18">
        <f t="shared" si="2"/>
        <v>504960</v>
      </c>
      <c r="F80" s="18">
        <f t="shared" si="3"/>
        <v>505770</v>
      </c>
      <c r="G80" s="29" t="s">
        <v>288</v>
      </c>
      <c r="H80" s="29" t="s">
        <v>289</v>
      </c>
      <c r="I80" s="29">
        <v>8</v>
      </c>
      <c r="J80" s="29"/>
      <c r="K80" s="31"/>
      <c r="L80" s="30"/>
      <c r="M80" s="30"/>
    </row>
    <row r="81" spans="1:13">
      <c r="A81" s="32" t="s">
        <v>7</v>
      </c>
      <c r="B81" s="33" t="s">
        <v>139</v>
      </c>
      <c r="C81" s="34">
        <v>0.19650462962962964</v>
      </c>
      <c r="D81" s="34">
        <v>0.19653935185185184</v>
      </c>
      <c r="E81" s="18">
        <f t="shared" si="2"/>
        <v>509340</v>
      </c>
      <c r="F81" s="18">
        <f t="shared" si="3"/>
        <v>509430</v>
      </c>
      <c r="G81" s="35" t="s">
        <v>288</v>
      </c>
      <c r="H81" s="30"/>
      <c r="I81" s="30"/>
      <c r="J81" s="30"/>
      <c r="K81" s="31"/>
      <c r="L81" s="30"/>
      <c r="M81" s="30"/>
    </row>
    <row r="82" spans="1:13">
      <c r="A82" s="26" t="s">
        <v>7</v>
      </c>
      <c r="B82" s="27" t="s">
        <v>140</v>
      </c>
      <c r="C82" s="28">
        <v>0.19672453703703704</v>
      </c>
      <c r="D82" s="28">
        <v>0.19687499999999999</v>
      </c>
      <c r="E82" s="18">
        <f t="shared" si="2"/>
        <v>509910</v>
      </c>
      <c r="F82" s="18">
        <f t="shared" si="3"/>
        <v>510300</v>
      </c>
      <c r="G82" s="29" t="s">
        <v>288</v>
      </c>
      <c r="H82" s="29" t="s">
        <v>290</v>
      </c>
      <c r="I82" s="29">
        <v>3</v>
      </c>
      <c r="J82" s="29"/>
      <c r="K82" s="31"/>
      <c r="L82" s="30"/>
      <c r="M82" s="30"/>
    </row>
    <row r="83" spans="1:13" ht="36">
      <c r="A83" s="26" t="s">
        <v>7</v>
      </c>
      <c r="B83" s="27" t="s">
        <v>141</v>
      </c>
      <c r="C83" s="28">
        <v>0.19694444444444445</v>
      </c>
      <c r="D83" s="28">
        <v>0.19706018518518517</v>
      </c>
      <c r="E83" s="18">
        <f t="shared" si="2"/>
        <v>510480</v>
      </c>
      <c r="F83" s="18">
        <f t="shared" si="3"/>
        <v>510780</v>
      </c>
      <c r="G83" s="29" t="s">
        <v>288</v>
      </c>
      <c r="H83" s="29" t="s">
        <v>289</v>
      </c>
      <c r="I83" s="29">
        <v>2.5</v>
      </c>
      <c r="J83" s="29"/>
      <c r="K83" s="38" t="s">
        <v>314</v>
      </c>
      <c r="L83" s="29" t="s">
        <v>315</v>
      </c>
      <c r="M83" s="30"/>
    </row>
    <row r="84" spans="1:13">
      <c r="A84" s="26" t="s">
        <v>7</v>
      </c>
      <c r="B84" s="27" t="s">
        <v>143</v>
      </c>
      <c r="C84" s="28">
        <v>0.19719907407407408</v>
      </c>
      <c r="D84" s="28">
        <v>0.19741898148148149</v>
      </c>
      <c r="E84" s="18">
        <f t="shared" si="2"/>
        <v>511140</v>
      </c>
      <c r="F84" s="18">
        <f t="shared" si="3"/>
        <v>511710</v>
      </c>
      <c r="G84" s="29" t="s">
        <v>288</v>
      </c>
      <c r="H84" s="29" t="s">
        <v>289</v>
      </c>
      <c r="I84" s="29">
        <v>5</v>
      </c>
      <c r="J84" s="29"/>
      <c r="K84" s="31"/>
      <c r="L84" s="30"/>
      <c r="M84" s="30"/>
    </row>
    <row r="85" spans="1:13">
      <c r="A85" s="26" t="s">
        <v>7</v>
      </c>
      <c r="B85" s="27" t="s">
        <v>145</v>
      </c>
      <c r="C85" s="28">
        <v>0.19877314814814814</v>
      </c>
      <c r="D85" s="28">
        <v>0.19881944444444444</v>
      </c>
      <c r="E85" s="18">
        <f t="shared" si="2"/>
        <v>515220</v>
      </c>
      <c r="F85" s="18">
        <f t="shared" si="3"/>
        <v>515340</v>
      </c>
      <c r="G85" s="29" t="s">
        <v>288</v>
      </c>
      <c r="H85" s="29" t="s">
        <v>289</v>
      </c>
      <c r="I85" s="29">
        <v>1</v>
      </c>
      <c r="J85" s="29"/>
      <c r="K85" s="31"/>
      <c r="L85" s="30"/>
      <c r="M85" s="30"/>
    </row>
    <row r="86" spans="1:13">
      <c r="A86" s="26" t="s">
        <v>7</v>
      </c>
      <c r="B86" s="27" t="s">
        <v>147</v>
      </c>
      <c r="C86" s="28">
        <v>0.19893518518518519</v>
      </c>
      <c r="D86" s="28">
        <v>0.19924768518518518</v>
      </c>
      <c r="E86" s="18">
        <f t="shared" si="2"/>
        <v>515640</v>
      </c>
      <c r="F86" s="18">
        <f t="shared" si="3"/>
        <v>516450</v>
      </c>
      <c r="G86" s="29" t="s">
        <v>288</v>
      </c>
      <c r="H86" s="29" t="s">
        <v>289</v>
      </c>
      <c r="I86" s="29">
        <v>8</v>
      </c>
      <c r="J86" s="29"/>
      <c r="K86" s="31"/>
      <c r="L86" s="30"/>
      <c r="M86" s="30"/>
    </row>
    <row r="87" spans="1:13">
      <c r="A87" s="32" t="s">
        <v>7</v>
      </c>
      <c r="B87" s="33" t="s">
        <v>149</v>
      </c>
      <c r="C87" s="34">
        <v>0.20060185185185186</v>
      </c>
      <c r="D87" s="34">
        <v>0.200625</v>
      </c>
      <c r="E87" s="18">
        <f t="shared" si="2"/>
        <v>519960</v>
      </c>
      <c r="F87" s="18">
        <f t="shared" si="3"/>
        <v>520020</v>
      </c>
      <c r="G87" s="35" t="s">
        <v>288</v>
      </c>
      <c r="H87" s="30"/>
      <c r="I87" s="30"/>
      <c r="J87" s="30"/>
      <c r="K87" s="31"/>
      <c r="L87" s="30"/>
      <c r="M87" s="30"/>
    </row>
    <row r="88" spans="1:13" ht="29.25">
      <c r="A88" s="26" t="s">
        <v>7</v>
      </c>
      <c r="B88" s="27" t="s">
        <v>151</v>
      </c>
      <c r="C88" s="28">
        <v>0.20072916666666665</v>
      </c>
      <c r="D88" s="28">
        <v>0.20082175925925927</v>
      </c>
      <c r="E88" s="18">
        <f t="shared" si="2"/>
        <v>520290</v>
      </c>
      <c r="F88" s="18">
        <f t="shared" si="3"/>
        <v>520530</v>
      </c>
      <c r="G88" s="29" t="s">
        <v>288</v>
      </c>
      <c r="H88" s="29" t="s">
        <v>289</v>
      </c>
      <c r="I88" s="29">
        <v>1.5</v>
      </c>
      <c r="J88" s="29"/>
      <c r="K88" s="31"/>
      <c r="L88" s="41" t="s">
        <v>316</v>
      </c>
      <c r="M88" s="30"/>
    </row>
    <row r="89" spans="1:13">
      <c r="A89" s="26" t="s">
        <v>7</v>
      </c>
      <c r="B89" s="27" t="s">
        <v>153</v>
      </c>
      <c r="C89" s="28">
        <v>0.20098379629629629</v>
      </c>
      <c r="D89" s="28">
        <v>0.20120370370370369</v>
      </c>
      <c r="E89" s="18">
        <f t="shared" si="2"/>
        <v>520950</v>
      </c>
      <c r="F89" s="18">
        <f t="shared" si="3"/>
        <v>521520</v>
      </c>
      <c r="G89" s="29" t="s">
        <v>288</v>
      </c>
      <c r="H89" s="29" t="s">
        <v>289</v>
      </c>
      <c r="I89" s="29">
        <v>5</v>
      </c>
      <c r="J89" s="29"/>
      <c r="K89" s="31"/>
      <c r="L89" s="30"/>
      <c r="M89" s="30"/>
    </row>
    <row r="90" spans="1:13" ht="24">
      <c r="A90" s="32" t="s">
        <v>7</v>
      </c>
      <c r="B90" s="33" t="s">
        <v>154</v>
      </c>
      <c r="C90" s="34">
        <v>0.20252314814814815</v>
      </c>
      <c r="D90" s="34">
        <v>0.20253472222222221</v>
      </c>
      <c r="E90" s="18">
        <f t="shared" si="2"/>
        <v>524940</v>
      </c>
      <c r="F90" s="18">
        <f t="shared" si="3"/>
        <v>524970</v>
      </c>
      <c r="G90" s="35" t="s">
        <v>288</v>
      </c>
      <c r="H90" s="30"/>
      <c r="I90" s="30"/>
      <c r="J90" s="30"/>
      <c r="K90" s="38" t="s">
        <v>301</v>
      </c>
      <c r="L90" s="39" t="s">
        <v>317</v>
      </c>
      <c r="M90" s="30"/>
    </row>
    <row r="91" spans="1:13">
      <c r="A91" s="1" t="s">
        <v>7</v>
      </c>
      <c r="B91" s="1" t="s">
        <v>220</v>
      </c>
      <c r="C91" s="2">
        <v>0.20280092592592591</v>
      </c>
      <c r="D91" s="2">
        <v>0.203125</v>
      </c>
      <c r="E91" s="18">
        <f t="shared" ref="E91" si="4">ROUND(C91*86400*30, 0)</f>
        <v>525660</v>
      </c>
      <c r="F91" s="18">
        <f t="shared" ref="F91" si="5">ROUND(D91*86400*30, 0)</f>
        <v>526500</v>
      </c>
      <c r="G91" s="1" t="s">
        <v>9</v>
      </c>
      <c r="H91" s="10" t="s">
        <v>290</v>
      </c>
      <c r="I91" s="10">
        <v>9</v>
      </c>
      <c r="L91" s="11" t="s">
        <v>318</v>
      </c>
    </row>
    <row r="92" spans="1:13">
      <c r="A92" s="1" t="s">
        <v>7</v>
      </c>
      <c r="B92" s="1" t="s">
        <v>230</v>
      </c>
      <c r="C92" s="42">
        <v>0.20678240740740741</v>
      </c>
      <c r="D92" s="42">
        <v>0.20689814814814814</v>
      </c>
      <c r="E92" s="18">
        <f t="shared" ref="E92:E93" si="6">ROUND(C92*86400*30, 0)</f>
        <v>535980</v>
      </c>
      <c r="F92" s="18">
        <f t="shared" ref="F92:F93" si="7">ROUND(D92*86400*30, 0)</f>
        <v>536280</v>
      </c>
      <c r="G92" s="1" t="s">
        <v>9</v>
      </c>
      <c r="H92" s="10" t="s">
        <v>290</v>
      </c>
      <c r="I92" s="10">
        <v>2.5</v>
      </c>
      <c r="L92" s="11" t="s">
        <v>318</v>
      </c>
    </row>
    <row r="93" spans="1:13">
      <c r="A93" s="1" t="s">
        <v>7</v>
      </c>
      <c r="B93" s="1" t="s">
        <v>231</v>
      </c>
      <c r="C93" s="2">
        <v>0.20697916666666666</v>
      </c>
      <c r="D93" s="2">
        <v>0.20704861111111111</v>
      </c>
      <c r="E93" s="18">
        <f t="shared" si="6"/>
        <v>536490</v>
      </c>
      <c r="F93" s="18">
        <f t="shared" si="7"/>
        <v>536670</v>
      </c>
      <c r="G93" s="1" t="s">
        <v>9</v>
      </c>
      <c r="H93" s="10" t="s">
        <v>289</v>
      </c>
      <c r="I93" s="10">
        <v>1.5</v>
      </c>
      <c r="L93" s="11" t="s">
        <v>318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9E527-B106-4087-AB10-1C2543E4D63B}">
  <dimension ref="A1:L26"/>
  <sheetViews>
    <sheetView workbookViewId="0">
      <selection activeCell="J8" sqref="J8"/>
    </sheetView>
  </sheetViews>
  <sheetFormatPr defaultRowHeight="15"/>
  <cols>
    <col min="2" max="2" width="18" customWidth="1"/>
    <col min="4" max="4" width="9.28515625" bestFit="1" customWidth="1"/>
    <col min="5" max="5" width="11.140625" bestFit="1" customWidth="1"/>
    <col min="6" max="6" width="10.28515625" bestFit="1" customWidth="1"/>
    <col min="7" max="7" width="13.28515625" bestFit="1" customWidth="1"/>
    <col min="8" max="8" width="16.5703125" bestFit="1" customWidth="1"/>
    <col min="9" max="9" width="17.7109375" bestFit="1" customWidth="1"/>
    <col min="10" max="10" width="17.7109375" customWidth="1"/>
    <col min="11" max="11" width="37.85546875" customWidth="1"/>
    <col min="12" max="12" width="70.28515625" customWidth="1"/>
  </cols>
  <sheetData>
    <row r="1" spans="1:12">
      <c r="A1" s="3" t="s">
        <v>0</v>
      </c>
      <c r="B1" s="3" t="s">
        <v>1</v>
      </c>
      <c r="C1" s="3" t="s">
        <v>2</v>
      </c>
      <c r="D1" s="3" t="s">
        <v>3</v>
      </c>
      <c r="E1" s="18" t="s">
        <v>281</v>
      </c>
      <c r="F1" s="18" t="s">
        <v>282</v>
      </c>
      <c r="G1" s="3" t="s">
        <v>4</v>
      </c>
      <c r="H1" s="1" t="s">
        <v>283</v>
      </c>
      <c r="I1" s="1" t="s">
        <v>284</v>
      </c>
      <c r="J1" s="1" t="s">
        <v>319</v>
      </c>
      <c r="K1" s="3" t="s">
        <v>6</v>
      </c>
      <c r="L1" t="s">
        <v>286</v>
      </c>
    </row>
    <row r="2" spans="1:12">
      <c r="A2" s="1" t="s">
        <v>7</v>
      </c>
      <c r="B2" s="1" t="s">
        <v>287</v>
      </c>
      <c r="C2" s="2">
        <v>0.21038194444444444</v>
      </c>
      <c r="D2" s="2">
        <v>0.21056712962962962</v>
      </c>
      <c r="E2" s="18">
        <f>ROUND(C2*86400*30, 0)</f>
        <v>545310</v>
      </c>
      <c r="F2" s="18">
        <f>ROUND(D2*86400*30, 0)</f>
        <v>545790</v>
      </c>
      <c r="G2" t="s">
        <v>9</v>
      </c>
      <c r="H2" t="s">
        <v>290</v>
      </c>
      <c r="I2">
        <v>5</v>
      </c>
      <c r="L2" s="10"/>
    </row>
    <row r="3" spans="1:12">
      <c r="A3" s="1" t="s">
        <v>7</v>
      </c>
      <c r="B3" s="1" t="s">
        <v>8</v>
      </c>
      <c r="C3" s="2">
        <v>0.21130787037037038</v>
      </c>
      <c r="D3" s="2">
        <v>0.21145833333333333</v>
      </c>
      <c r="E3" s="18">
        <f t="shared" ref="E3:E16" si="0">ROUND(C3*86400*30, 0)</f>
        <v>547710</v>
      </c>
      <c r="F3" s="18">
        <f t="shared" ref="F3:F16" si="1">ROUND(D3*86400*30, 0)</f>
        <v>548100</v>
      </c>
      <c r="G3" t="s">
        <v>9</v>
      </c>
      <c r="H3" t="s">
        <v>289</v>
      </c>
      <c r="I3">
        <v>3</v>
      </c>
      <c r="L3" s="10"/>
    </row>
    <row r="4" spans="1:12" ht="60.75">
      <c r="A4" s="1" t="s">
        <v>7</v>
      </c>
      <c r="B4" s="1" t="s">
        <v>291</v>
      </c>
      <c r="C4" s="2">
        <v>0.21581018518518519</v>
      </c>
      <c r="D4" s="4">
        <v>0.21587962962962962</v>
      </c>
      <c r="E4" s="18">
        <f t="shared" si="0"/>
        <v>559380</v>
      </c>
      <c r="F4" s="18">
        <f t="shared" si="1"/>
        <v>559560</v>
      </c>
      <c r="G4" t="s">
        <v>9</v>
      </c>
      <c r="H4" t="s">
        <v>289</v>
      </c>
      <c r="I4">
        <v>1</v>
      </c>
      <c r="L4" s="11" t="s">
        <v>320</v>
      </c>
    </row>
    <row r="5" spans="1:12">
      <c r="A5" s="1" t="s">
        <v>7</v>
      </c>
      <c r="B5" s="1" t="s">
        <v>292</v>
      </c>
      <c r="C5" s="2">
        <v>0.2170138888888889</v>
      </c>
      <c r="D5" s="4">
        <v>0.21715277777777778</v>
      </c>
      <c r="E5" s="18">
        <f t="shared" si="0"/>
        <v>562500</v>
      </c>
      <c r="F5" s="18">
        <f t="shared" si="1"/>
        <v>562860</v>
      </c>
      <c r="G5" t="s">
        <v>9</v>
      </c>
      <c r="H5" t="s">
        <v>290</v>
      </c>
      <c r="I5">
        <v>4</v>
      </c>
      <c r="L5" s="10"/>
    </row>
    <row r="6" spans="1:12">
      <c r="A6" s="6" t="s">
        <v>7</v>
      </c>
      <c r="B6" s="6" t="s">
        <v>11</v>
      </c>
      <c r="C6" s="7">
        <v>0.21761574074074075</v>
      </c>
      <c r="D6" s="8">
        <v>0.21765046296296298</v>
      </c>
      <c r="E6" s="18">
        <f t="shared" si="0"/>
        <v>564060</v>
      </c>
      <c r="F6" s="18">
        <f t="shared" si="1"/>
        <v>564150</v>
      </c>
      <c r="G6" s="9" t="s">
        <v>9</v>
      </c>
      <c r="L6" t="s">
        <v>321</v>
      </c>
    </row>
    <row r="7" spans="1:12">
      <c r="A7" s="1" t="s">
        <v>7</v>
      </c>
      <c r="B7" s="1" t="s">
        <v>13</v>
      </c>
      <c r="C7" s="2">
        <v>0.22336805555555556</v>
      </c>
      <c r="D7" s="4">
        <v>0.22341435185185185</v>
      </c>
      <c r="E7" s="18">
        <f t="shared" si="0"/>
        <v>578970</v>
      </c>
      <c r="F7" s="18">
        <f t="shared" si="1"/>
        <v>579090</v>
      </c>
      <c r="G7" t="s">
        <v>9</v>
      </c>
      <c r="H7" t="s">
        <v>289</v>
      </c>
      <c r="I7">
        <v>1</v>
      </c>
    </row>
    <row r="8" spans="1:12" ht="30.75">
      <c r="A8" s="1" t="s">
        <v>7</v>
      </c>
      <c r="B8" s="1" t="s">
        <v>15</v>
      </c>
      <c r="C8" s="2">
        <v>0.22369212962962962</v>
      </c>
      <c r="D8" s="4">
        <v>0.22375</v>
      </c>
      <c r="E8" s="18">
        <f t="shared" si="0"/>
        <v>579810</v>
      </c>
      <c r="F8" s="18">
        <f t="shared" si="1"/>
        <v>579960</v>
      </c>
      <c r="G8" t="s">
        <v>9</v>
      </c>
      <c r="H8" t="s">
        <v>289</v>
      </c>
      <c r="I8">
        <v>1</v>
      </c>
      <c r="J8" t="s">
        <v>322</v>
      </c>
      <c r="L8" s="5" t="s">
        <v>323</v>
      </c>
    </row>
    <row r="9" spans="1:12">
      <c r="A9" s="1" t="s">
        <v>7</v>
      </c>
      <c r="B9" s="1" t="s">
        <v>16</v>
      </c>
      <c r="C9" s="2">
        <v>0.22575231481481481</v>
      </c>
      <c r="D9" s="4">
        <v>0.2258101851851852</v>
      </c>
      <c r="E9" s="18">
        <f t="shared" si="0"/>
        <v>585150</v>
      </c>
      <c r="F9" s="18">
        <f t="shared" si="1"/>
        <v>585300</v>
      </c>
      <c r="G9" t="s">
        <v>9</v>
      </c>
      <c r="H9" t="s">
        <v>289</v>
      </c>
      <c r="I9">
        <v>1</v>
      </c>
    </row>
    <row r="10" spans="1:12">
      <c r="A10" s="6" t="s">
        <v>7</v>
      </c>
      <c r="B10" s="6" t="s">
        <v>18</v>
      </c>
      <c r="C10" s="7">
        <v>0.23167824074074075</v>
      </c>
      <c r="D10" s="8">
        <v>0.23171296296296295</v>
      </c>
      <c r="E10" s="40">
        <f t="shared" si="0"/>
        <v>600510</v>
      </c>
      <c r="F10" s="40">
        <f t="shared" si="1"/>
        <v>600600</v>
      </c>
      <c r="G10" t="s">
        <v>324</v>
      </c>
      <c r="H10" s="9" t="s">
        <v>289</v>
      </c>
      <c r="I10" s="9">
        <v>1</v>
      </c>
      <c r="J10" s="9"/>
      <c r="L10" t="s">
        <v>325</v>
      </c>
    </row>
    <row r="11" spans="1:12" ht="30.75">
      <c r="A11" s="6" t="s">
        <v>7</v>
      </c>
      <c r="B11" s="6" t="s">
        <v>20</v>
      </c>
      <c r="C11" s="7">
        <v>0.23884259259259261</v>
      </c>
      <c r="D11" s="8">
        <v>0.23895833333333333</v>
      </c>
      <c r="E11" s="40">
        <f t="shared" si="0"/>
        <v>619080</v>
      </c>
      <c r="F11" s="40">
        <f t="shared" si="1"/>
        <v>619380</v>
      </c>
      <c r="G11" s="9" t="s">
        <v>324</v>
      </c>
      <c r="H11" s="9"/>
      <c r="I11" s="9"/>
      <c r="J11" s="9"/>
      <c r="L11" s="5" t="s">
        <v>326</v>
      </c>
    </row>
    <row r="12" spans="1:12" ht="30.75">
      <c r="A12" s="6" t="s">
        <v>7</v>
      </c>
      <c r="B12" s="6" t="s">
        <v>22</v>
      </c>
      <c r="C12" s="7">
        <v>0.2442361111111111</v>
      </c>
      <c r="D12" s="8">
        <v>0.24428240740740742</v>
      </c>
      <c r="E12" s="40">
        <f t="shared" si="0"/>
        <v>633060</v>
      </c>
      <c r="F12" s="40">
        <f t="shared" si="1"/>
        <v>633180</v>
      </c>
      <c r="G12" t="s">
        <v>324</v>
      </c>
      <c r="H12" s="9" t="s">
        <v>289</v>
      </c>
      <c r="I12" s="9">
        <v>1</v>
      </c>
      <c r="J12" s="9"/>
      <c r="L12" s="5" t="s">
        <v>327</v>
      </c>
    </row>
    <row r="13" spans="1:12">
      <c r="A13" s="6" t="s">
        <v>7</v>
      </c>
      <c r="B13" s="6" t="s">
        <v>24</v>
      </c>
      <c r="C13" s="7">
        <v>0.24479166666666666</v>
      </c>
      <c r="D13" s="8">
        <v>0.24483796296296295</v>
      </c>
      <c r="E13" s="18">
        <f t="shared" si="0"/>
        <v>634500</v>
      </c>
      <c r="F13" s="18">
        <f t="shared" si="1"/>
        <v>634620</v>
      </c>
      <c r="G13" s="9" t="s">
        <v>9</v>
      </c>
      <c r="H13" s="9"/>
      <c r="I13" s="9"/>
      <c r="J13" s="9"/>
      <c r="L13" s="5" t="s">
        <v>328</v>
      </c>
    </row>
    <row r="14" spans="1:12">
      <c r="A14" s="6" t="s">
        <v>7</v>
      </c>
      <c r="B14" s="6" t="s">
        <v>25</v>
      </c>
      <c r="C14" s="7">
        <v>0.24753472222222223</v>
      </c>
      <c r="D14" s="8">
        <v>0.24755787037037036</v>
      </c>
      <c r="E14" s="40">
        <f t="shared" si="0"/>
        <v>641610</v>
      </c>
      <c r="F14" s="40">
        <f t="shared" si="1"/>
        <v>641670</v>
      </c>
      <c r="G14" s="9" t="s">
        <v>9</v>
      </c>
      <c r="L14" s="5" t="s">
        <v>329</v>
      </c>
    </row>
    <row r="15" spans="1:12">
      <c r="A15" s="1" t="s">
        <v>7</v>
      </c>
      <c r="B15" s="1" t="s">
        <v>27</v>
      </c>
      <c r="C15" s="2">
        <v>0.27506944444444442</v>
      </c>
      <c r="D15" s="4">
        <v>0.27519675925925924</v>
      </c>
      <c r="E15" s="18">
        <f t="shared" si="0"/>
        <v>712980</v>
      </c>
      <c r="F15" s="18">
        <f t="shared" si="1"/>
        <v>713310</v>
      </c>
      <c r="G15" t="s">
        <v>9</v>
      </c>
      <c r="H15" t="s">
        <v>290</v>
      </c>
      <c r="I15">
        <v>3</v>
      </c>
      <c r="L15" s="5" t="s">
        <v>330</v>
      </c>
    </row>
    <row r="16" spans="1:12">
      <c r="A16" s="6" t="s">
        <v>7</v>
      </c>
      <c r="B16" s="6" t="s">
        <v>29</v>
      </c>
      <c r="C16" s="7">
        <v>0.28377314814814814</v>
      </c>
      <c r="D16" s="8">
        <v>0.2838310185185185</v>
      </c>
      <c r="E16" s="40">
        <f t="shared" si="0"/>
        <v>735540</v>
      </c>
      <c r="F16" s="40">
        <f t="shared" si="1"/>
        <v>735690</v>
      </c>
      <c r="G16" t="s">
        <v>324</v>
      </c>
      <c r="H16" s="9" t="s">
        <v>289</v>
      </c>
      <c r="I16" s="9">
        <v>1</v>
      </c>
      <c r="J16" s="9"/>
      <c r="K16" t="s">
        <v>331</v>
      </c>
      <c r="L16" s="5" t="s">
        <v>332</v>
      </c>
    </row>
    <row r="17" spans="1:3">
      <c r="A17" s="1"/>
      <c r="B17" s="1"/>
      <c r="C17" s="2"/>
    </row>
    <row r="18" spans="1:3">
      <c r="A18" s="1"/>
      <c r="B18" s="1"/>
      <c r="C18" s="2"/>
    </row>
    <row r="19" spans="1:3">
      <c r="A19" s="1"/>
      <c r="B19" s="1"/>
      <c r="C19" s="2"/>
    </row>
    <row r="20" spans="1:3">
      <c r="A20" s="1"/>
      <c r="B20" s="1"/>
      <c r="C20" s="2"/>
    </row>
    <row r="21" spans="1:3">
      <c r="A21" s="1"/>
      <c r="B21" s="1"/>
      <c r="C21" s="2"/>
    </row>
    <row r="22" spans="1:3">
      <c r="A22" s="1"/>
      <c r="B22" s="1"/>
      <c r="C22" s="2"/>
    </row>
    <row r="23" spans="1:3">
      <c r="A23" s="1"/>
      <c r="B23" s="1"/>
      <c r="C23" s="2"/>
    </row>
    <row r="24" spans="1:3">
      <c r="A24" s="1"/>
      <c r="B24" s="1"/>
      <c r="C24" s="2"/>
    </row>
    <row r="25" spans="1:3">
      <c r="A25" s="1"/>
      <c r="B25" s="1"/>
      <c r="C25" s="2"/>
    </row>
    <row r="26" spans="1:3">
      <c r="A26" s="1"/>
      <c r="B26" s="1"/>
      <c r="C26"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2D364-E837-4CAE-9629-BCED9C9DBABE}">
  <dimension ref="A1:O98"/>
  <sheetViews>
    <sheetView tabSelected="1" topLeftCell="H1" workbookViewId="0">
      <selection activeCell="K12" sqref="K12"/>
    </sheetView>
  </sheetViews>
  <sheetFormatPr defaultRowHeight="15"/>
  <cols>
    <col min="1" max="1" width="8.85546875" style="10" bestFit="1" customWidth="1"/>
    <col min="2" max="2" width="17.85546875" style="10" bestFit="1" customWidth="1"/>
    <col min="3" max="3" width="9.42578125" style="10" bestFit="1" customWidth="1"/>
    <col min="4" max="4" width="8.5703125" style="10" bestFit="1" customWidth="1"/>
    <col min="5" max="5" width="11.140625" style="19" bestFit="1" customWidth="1"/>
    <col min="6" max="6" width="10.28515625" style="19" bestFit="1" customWidth="1"/>
    <col min="7" max="7" width="8.5703125" style="10" bestFit="1" customWidth="1"/>
    <col min="8" max="8" width="16.5703125" style="10" bestFit="1" customWidth="1"/>
    <col min="9" max="9" width="17.7109375" style="10" bestFit="1" customWidth="1"/>
    <col min="10" max="10" width="17.7109375" style="10" customWidth="1"/>
    <col min="11" max="11" width="37.85546875" style="11" customWidth="1"/>
    <col min="12" max="12" width="19.85546875" style="10" bestFit="1" customWidth="1"/>
    <col min="13" max="13" width="44" style="11" customWidth="1"/>
    <col min="14" max="14" width="51.42578125" style="11" customWidth="1"/>
    <col min="15" max="15" width="41.42578125" style="10" customWidth="1"/>
    <col min="16" max="16384" width="9.140625" style="10"/>
  </cols>
  <sheetData>
    <row r="1" spans="1:14">
      <c r="A1" s="12" t="s">
        <v>0</v>
      </c>
      <c r="B1" s="12" t="s">
        <v>1</v>
      </c>
      <c r="C1" s="12" t="s">
        <v>2</v>
      </c>
      <c r="D1" s="12" t="s">
        <v>3</v>
      </c>
      <c r="E1" s="18" t="s">
        <v>281</v>
      </c>
      <c r="F1" s="18" t="s">
        <v>282</v>
      </c>
      <c r="G1" s="12" t="s">
        <v>4</v>
      </c>
      <c r="H1" s="12" t="s">
        <v>283</v>
      </c>
      <c r="I1" s="12" t="s">
        <v>284</v>
      </c>
      <c r="J1" s="12" t="s">
        <v>285</v>
      </c>
      <c r="K1" s="13" t="s">
        <v>333</v>
      </c>
      <c r="L1" s="12" t="s">
        <v>5</v>
      </c>
      <c r="M1" s="11" t="s">
        <v>6</v>
      </c>
      <c r="N1" s="11" t="s">
        <v>334</v>
      </c>
    </row>
    <row r="2" spans="1:14">
      <c r="A2" s="12" t="s">
        <v>335</v>
      </c>
      <c r="B2" s="12" t="s">
        <v>336</v>
      </c>
      <c r="C2" s="14">
        <v>3.7835648148148146E-2</v>
      </c>
      <c r="D2" s="14">
        <v>3.7951388888888889E-2</v>
      </c>
      <c r="E2" s="18">
        <f>ROUND(C2*86400*30, 0)</f>
        <v>98070</v>
      </c>
      <c r="F2" s="18">
        <f>ROUND(D2*86400*30, 0)</f>
        <v>98370</v>
      </c>
      <c r="G2" s="12" t="s">
        <v>9</v>
      </c>
      <c r="H2" s="12" t="s">
        <v>290</v>
      </c>
      <c r="I2" s="12">
        <v>2</v>
      </c>
      <c r="J2" s="12" t="s">
        <v>337</v>
      </c>
      <c r="K2" s="13" t="s">
        <v>338</v>
      </c>
      <c r="L2" s="12" t="s">
        <v>339</v>
      </c>
      <c r="M2" s="13"/>
    </row>
    <row r="3" spans="1:14">
      <c r="A3" s="15" t="s">
        <v>335</v>
      </c>
      <c r="B3" s="15" t="s">
        <v>340</v>
      </c>
      <c r="C3" s="16">
        <v>3.8043981481481484E-2</v>
      </c>
      <c r="D3" s="16">
        <v>3.8090277777777778E-2</v>
      </c>
      <c r="E3" s="18">
        <f t="shared" ref="E3:E66" si="0">ROUND(C3*86400*30, 0)</f>
        <v>98610</v>
      </c>
      <c r="F3" s="18">
        <f t="shared" ref="F3:F66" si="1">ROUND(D3*86400*30, 0)</f>
        <v>98730</v>
      </c>
      <c r="G3" s="15" t="s">
        <v>9</v>
      </c>
      <c r="H3" s="15" t="s">
        <v>290</v>
      </c>
      <c r="I3" s="15">
        <v>0</v>
      </c>
      <c r="J3" s="12" t="s">
        <v>337</v>
      </c>
      <c r="K3" s="17" t="s">
        <v>341</v>
      </c>
      <c r="L3" s="15" t="s">
        <v>342</v>
      </c>
      <c r="M3" s="13" t="s">
        <v>343</v>
      </c>
    </row>
    <row r="4" spans="1:14">
      <c r="A4" s="12" t="s">
        <v>335</v>
      </c>
      <c r="B4" s="12" t="s">
        <v>344</v>
      </c>
      <c r="C4" s="14">
        <v>3.8171296296296293E-2</v>
      </c>
      <c r="D4" s="14">
        <v>3.8275462962962963E-2</v>
      </c>
      <c r="E4" s="18">
        <f t="shared" si="0"/>
        <v>98940</v>
      </c>
      <c r="F4" s="18">
        <f t="shared" si="1"/>
        <v>99210</v>
      </c>
      <c r="G4" s="12" t="s">
        <v>9</v>
      </c>
      <c r="H4" s="12" t="s">
        <v>289</v>
      </c>
      <c r="I4" s="12">
        <v>2</v>
      </c>
      <c r="J4" s="12" t="s">
        <v>337</v>
      </c>
      <c r="K4" s="13" t="s">
        <v>345</v>
      </c>
      <c r="L4" s="12" t="s">
        <v>346</v>
      </c>
      <c r="M4" s="13"/>
    </row>
    <row r="5" spans="1:14">
      <c r="A5" s="15" t="s">
        <v>335</v>
      </c>
      <c r="B5" s="15" t="s">
        <v>347</v>
      </c>
      <c r="C5" s="16">
        <v>4.0266203703703707E-2</v>
      </c>
      <c r="D5" s="16">
        <v>4.0289351851851854E-2</v>
      </c>
      <c r="E5" s="18">
        <f t="shared" si="0"/>
        <v>104370</v>
      </c>
      <c r="F5" s="18">
        <f t="shared" si="1"/>
        <v>104430</v>
      </c>
      <c r="G5" s="15" t="s">
        <v>9</v>
      </c>
      <c r="H5" s="15"/>
      <c r="I5" s="15"/>
      <c r="J5" s="15"/>
      <c r="K5" s="17"/>
      <c r="L5" s="15" t="s">
        <v>348</v>
      </c>
      <c r="M5" s="13" t="s">
        <v>349</v>
      </c>
    </row>
    <row r="6" spans="1:14" ht="29.25">
      <c r="A6" s="15" t="s">
        <v>335</v>
      </c>
      <c r="B6" s="15" t="s">
        <v>350</v>
      </c>
      <c r="C6" s="16">
        <v>4.162037037037037E-2</v>
      </c>
      <c r="D6" s="16">
        <v>4.1678240740740738E-2</v>
      </c>
      <c r="E6" s="18">
        <f t="shared" si="0"/>
        <v>107880</v>
      </c>
      <c r="F6" s="18">
        <f t="shared" si="1"/>
        <v>108030</v>
      </c>
      <c r="G6" s="15" t="s">
        <v>9</v>
      </c>
      <c r="H6" s="15"/>
      <c r="I6" s="15"/>
      <c r="J6" s="15"/>
      <c r="K6" s="17"/>
      <c r="L6" s="15" t="s">
        <v>351</v>
      </c>
      <c r="M6" s="13" t="s">
        <v>352</v>
      </c>
    </row>
    <row r="7" spans="1:14">
      <c r="A7" s="12" t="s">
        <v>335</v>
      </c>
      <c r="B7" s="12" t="s">
        <v>353</v>
      </c>
      <c r="C7" s="14">
        <v>4.6261574074074073E-2</v>
      </c>
      <c r="D7" s="14">
        <v>4.6539351851851853E-2</v>
      </c>
      <c r="E7" s="18">
        <f t="shared" si="0"/>
        <v>119910</v>
      </c>
      <c r="F7" s="18">
        <f t="shared" si="1"/>
        <v>120630</v>
      </c>
      <c r="G7" s="12" t="s">
        <v>9</v>
      </c>
      <c r="H7" s="12" t="s">
        <v>290</v>
      </c>
      <c r="I7" s="12">
        <v>6</v>
      </c>
      <c r="J7" s="12" t="s">
        <v>337</v>
      </c>
      <c r="K7" s="13" t="s">
        <v>338</v>
      </c>
      <c r="L7" s="12" t="s">
        <v>354</v>
      </c>
      <c r="M7" s="13"/>
    </row>
    <row r="8" spans="1:14">
      <c r="A8" s="12" t="s">
        <v>335</v>
      </c>
      <c r="B8" s="12" t="s">
        <v>355</v>
      </c>
      <c r="C8" s="14">
        <v>4.6875E-2</v>
      </c>
      <c r="D8" s="14">
        <v>4.6944444444444441E-2</v>
      </c>
      <c r="E8" s="18">
        <f t="shared" si="0"/>
        <v>121500</v>
      </c>
      <c r="F8" s="18">
        <f t="shared" si="1"/>
        <v>121680</v>
      </c>
      <c r="G8" s="12" t="s">
        <v>9</v>
      </c>
      <c r="H8" s="12" t="s">
        <v>290</v>
      </c>
      <c r="I8" s="12">
        <v>2</v>
      </c>
      <c r="J8" s="12" t="s">
        <v>337</v>
      </c>
      <c r="K8" s="13"/>
      <c r="L8" s="12" t="s">
        <v>356</v>
      </c>
      <c r="M8" s="13"/>
    </row>
    <row r="9" spans="1:14">
      <c r="A9" s="12" t="s">
        <v>335</v>
      </c>
      <c r="B9" s="12" t="s">
        <v>357</v>
      </c>
      <c r="C9" s="14">
        <v>4.7372685185185184E-2</v>
      </c>
      <c r="D9" s="14">
        <v>4.7418981481481479E-2</v>
      </c>
      <c r="E9" s="18">
        <f t="shared" si="0"/>
        <v>122790</v>
      </c>
      <c r="F9" s="18">
        <f t="shared" si="1"/>
        <v>122910</v>
      </c>
      <c r="G9" s="12" t="s">
        <v>9</v>
      </c>
      <c r="H9" s="12" t="s">
        <v>289</v>
      </c>
      <c r="I9" s="12">
        <v>1</v>
      </c>
      <c r="J9" s="12" t="s">
        <v>337</v>
      </c>
      <c r="K9" s="13" t="s">
        <v>358</v>
      </c>
      <c r="L9" s="12" t="s">
        <v>359</v>
      </c>
      <c r="M9" s="13"/>
    </row>
    <row r="10" spans="1:14">
      <c r="A10" s="12" t="s">
        <v>335</v>
      </c>
      <c r="B10" s="12" t="s">
        <v>360</v>
      </c>
      <c r="C10" s="14">
        <v>4.7442129629629633E-2</v>
      </c>
      <c r="D10" s="14">
        <v>4.7939814814814817E-2</v>
      </c>
      <c r="E10" s="18">
        <f t="shared" si="0"/>
        <v>122970</v>
      </c>
      <c r="F10" s="18">
        <f t="shared" si="1"/>
        <v>124260</v>
      </c>
      <c r="G10" s="12" t="s">
        <v>9</v>
      </c>
      <c r="H10" s="12" t="s">
        <v>290</v>
      </c>
      <c r="I10" s="12">
        <v>10</v>
      </c>
      <c r="J10" s="12" t="s">
        <v>337</v>
      </c>
      <c r="K10" s="13"/>
      <c r="L10" s="12" t="s">
        <v>361</v>
      </c>
      <c r="M10" s="13"/>
    </row>
    <row r="11" spans="1:14">
      <c r="A11" s="12" t="s">
        <v>335</v>
      </c>
      <c r="B11" s="12" t="s">
        <v>362</v>
      </c>
      <c r="C11" s="14">
        <v>4.7997685185185185E-2</v>
      </c>
      <c r="D11" s="14">
        <v>4.8067129629629626E-2</v>
      </c>
      <c r="E11" s="18">
        <f t="shared" si="0"/>
        <v>124410</v>
      </c>
      <c r="F11" s="18">
        <f t="shared" si="1"/>
        <v>124590</v>
      </c>
      <c r="G11" s="12" t="s">
        <v>9</v>
      </c>
      <c r="H11" s="12" t="s">
        <v>290</v>
      </c>
      <c r="I11" s="12">
        <v>1.5</v>
      </c>
      <c r="J11" s="12" t="s">
        <v>337</v>
      </c>
      <c r="K11" s="13"/>
      <c r="L11" s="12" t="s">
        <v>363</v>
      </c>
      <c r="M11" s="13" t="s">
        <v>364</v>
      </c>
    </row>
    <row r="12" spans="1:14">
      <c r="A12" s="12" t="s">
        <v>335</v>
      </c>
      <c r="B12" s="12" t="s">
        <v>365</v>
      </c>
      <c r="C12" s="14">
        <v>4.809027777777778E-2</v>
      </c>
      <c r="D12" s="14">
        <v>4.8159722222222222E-2</v>
      </c>
      <c r="E12" s="18">
        <f t="shared" si="0"/>
        <v>124650</v>
      </c>
      <c r="F12" s="18">
        <f t="shared" si="1"/>
        <v>124830</v>
      </c>
      <c r="G12" s="12" t="s">
        <v>9</v>
      </c>
      <c r="H12" s="12" t="s">
        <v>290</v>
      </c>
      <c r="I12" s="12">
        <v>1</v>
      </c>
      <c r="J12" s="12" t="s">
        <v>337</v>
      </c>
      <c r="K12" s="13"/>
      <c r="L12" s="12" t="s">
        <v>363</v>
      </c>
      <c r="M12" s="13"/>
    </row>
    <row r="13" spans="1:14">
      <c r="A13" s="12" t="s">
        <v>335</v>
      </c>
      <c r="B13" s="12" t="s">
        <v>366</v>
      </c>
      <c r="C13" s="14">
        <v>4.8194444444444443E-2</v>
      </c>
      <c r="D13" s="14">
        <v>4.8310185185185185E-2</v>
      </c>
      <c r="E13" s="18">
        <f t="shared" si="0"/>
        <v>124920</v>
      </c>
      <c r="F13" s="18">
        <f t="shared" si="1"/>
        <v>125220</v>
      </c>
      <c r="G13" s="12" t="s">
        <v>9</v>
      </c>
      <c r="H13" s="12" t="s">
        <v>290</v>
      </c>
      <c r="I13" s="12">
        <v>2.5</v>
      </c>
      <c r="J13" s="12" t="s">
        <v>337</v>
      </c>
      <c r="K13" s="13"/>
      <c r="L13" s="12" t="s">
        <v>363</v>
      </c>
      <c r="M13" s="13" t="s">
        <v>367</v>
      </c>
    </row>
    <row r="14" spans="1:14">
      <c r="A14" s="12" t="s">
        <v>335</v>
      </c>
      <c r="B14" s="12" t="s">
        <v>368</v>
      </c>
      <c r="C14" s="14">
        <v>5.0150462962962966E-2</v>
      </c>
      <c r="D14" s="14">
        <v>5.0254629629629628E-2</v>
      </c>
      <c r="E14" s="18">
        <f t="shared" si="0"/>
        <v>129990</v>
      </c>
      <c r="F14" s="18">
        <f t="shared" si="1"/>
        <v>130260</v>
      </c>
      <c r="G14" s="12" t="s">
        <v>9</v>
      </c>
      <c r="H14" s="12" t="s">
        <v>289</v>
      </c>
      <c r="I14" s="12">
        <v>1.5</v>
      </c>
      <c r="J14" s="12" t="s">
        <v>337</v>
      </c>
      <c r="K14" s="13"/>
      <c r="L14" s="12" t="s">
        <v>369</v>
      </c>
      <c r="M14" s="13"/>
    </row>
    <row r="15" spans="1:14">
      <c r="A15" s="15" t="s">
        <v>335</v>
      </c>
      <c r="B15" s="15" t="s">
        <v>370</v>
      </c>
      <c r="C15" s="16">
        <v>5.0520833333333334E-2</v>
      </c>
      <c r="D15" s="16">
        <v>5.0567129629629629E-2</v>
      </c>
      <c r="E15" s="18">
        <f t="shared" si="0"/>
        <v>130950</v>
      </c>
      <c r="F15" s="18">
        <f t="shared" si="1"/>
        <v>131070</v>
      </c>
      <c r="G15" s="15" t="s">
        <v>9</v>
      </c>
      <c r="H15" s="15"/>
      <c r="I15" s="15"/>
      <c r="J15" s="15"/>
      <c r="K15" s="17"/>
      <c r="L15" s="15" t="s">
        <v>371</v>
      </c>
      <c r="M15" s="13" t="s">
        <v>372</v>
      </c>
    </row>
    <row r="16" spans="1:14">
      <c r="A16" s="15" t="s">
        <v>335</v>
      </c>
      <c r="B16" s="15" t="s">
        <v>373</v>
      </c>
      <c r="C16" s="16">
        <v>5.1319444444444445E-2</v>
      </c>
      <c r="D16" s="16">
        <v>5.1354166666666666E-2</v>
      </c>
      <c r="E16" s="18">
        <f t="shared" si="0"/>
        <v>133020</v>
      </c>
      <c r="F16" s="18">
        <f t="shared" si="1"/>
        <v>133110</v>
      </c>
      <c r="G16" s="15" t="s">
        <v>9</v>
      </c>
      <c r="H16" s="15"/>
      <c r="I16" s="15"/>
      <c r="J16" s="15"/>
      <c r="K16" s="17"/>
      <c r="L16" s="15" t="s">
        <v>374</v>
      </c>
      <c r="M16" s="13" t="s">
        <v>375</v>
      </c>
    </row>
    <row r="17" spans="1:14">
      <c r="A17" s="12" t="s">
        <v>335</v>
      </c>
      <c r="B17" s="12" t="s">
        <v>376</v>
      </c>
      <c r="C17" s="14">
        <v>5.3298611111111109E-2</v>
      </c>
      <c r="D17" s="14">
        <v>5.3495370370370374E-2</v>
      </c>
      <c r="E17" s="18">
        <f t="shared" si="0"/>
        <v>138150</v>
      </c>
      <c r="F17" s="18">
        <f t="shared" si="1"/>
        <v>138660</v>
      </c>
      <c r="G17" s="12" t="s">
        <v>9</v>
      </c>
      <c r="H17" s="12" t="s">
        <v>289</v>
      </c>
      <c r="I17" s="12">
        <v>3.5</v>
      </c>
      <c r="J17" s="12" t="s">
        <v>337</v>
      </c>
      <c r="K17" s="13"/>
      <c r="L17" s="12" t="s">
        <v>377</v>
      </c>
      <c r="M17" s="13"/>
    </row>
    <row r="18" spans="1:14">
      <c r="A18" s="12" t="s">
        <v>335</v>
      </c>
      <c r="B18" s="12" t="s">
        <v>378</v>
      </c>
      <c r="C18" s="14">
        <v>5.3715277777777778E-2</v>
      </c>
      <c r="D18" s="14">
        <v>5.3796296296296293E-2</v>
      </c>
      <c r="E18" s="18">
        <f t="shared" si="0"/>
        <v>139230</v>
      </c>
      <c r="F18" s="18">
        <f t="shared" si="1"/>
        <v>139440</v>
      </c>
      <c r="G18" s="12" t="s">
        <v>9</v>
      </c>
      <c r="H18" s="12" t="s">
        <v>289</v>
      </c>
      <c r="I18" s="12">
        <v>2</v>
      </c>
      <c r="J18" s="12" t="s">
        <v>337</v>
      </c>
      <c r="K18" s="13"/>
      <c r="L18" s="12" t="s">
        <v>379</v>
      </c>
      <c r="M18" s="13"/>
    </row>
    <row r="19" spans="1:14">
      <c r="A19" s="15" t="s">
        <v>335</v>
      </c>
      <c r="B19" s="15" t="s">
        <v>380</v>
      </c>
      <c r="C19" s="16">
        <v>5.7222222222222223E-2</v>
      </c>
      <c r="D19" s="16">
        <v>5.7268518518518517E-2</v>
      </c>
      <c r="E19" s="18">
        <f t="shared" si="0"/>
        <v>148320</v>
      </c>
      <c r="F19" s="18">
        <f t="shared" si="1"/>
        <v>148440</v>
      </c>
      <c r="G19" s="15" t="s">
        <v>9</v>
      </c>
      <c r="H19" s="15" t="s">
        <v>289</v>
      </c>
      <c r="I19" s="15">
        <v>0.5</v>
      </c>
      <c r="J19" s="12" t="s">
        <v>337</v>
      </c>
      <c r="K19" s="17"/>
      <c r="L19" s="15" t="s">
        <v>381</v>
      </c>
      <c r="M19" s="13" t="s">
        <v>343</v>
      </c>
    </row>
    <row r="20" spans="1:14">
      <c r="A20" s="15" t="s">
        <v>335</v>
      </c>
      <c r="B20" s="15" t="s">
        <v>382</v>
      </c>
      <c r="C20" s="16">
        <v>5.8495370370370371E-2</v>
      </c>
      <c r="D20" s="16">
        <v>5.8530092592592592E-2</v>
      </c>
      <c r="E20" s="18">
        <f t="shared" si="0"/>
        <v>151620</v>
      </c>
      <c r="F20" s="18">
        <f t="shared" si="1"/>
        <v>151710</v>
      </c>
      <c r="G20" s="15" t="s">
        <v>9</v>
      </c>
      <c r="H20" s="15"/>
      <c r="I20" s="15"/>
      <c r="J20" s="15"/>
      <c r="K20" s="17"/>
      <c r="L20" s="15" t="s">
        <v>383</v>
      </c>
      <c r="M20" s="13" t="s">
        <v>384</v>
      </c>
      <c r="N20" s="11" t="s">
        <v>385</v>
      </c>
    </row>
    <row r="21" spans="1:14">
      <c r="A21" s="15" t="s">
        <v>335</v>
      </c>
      <c r="B21" s="15" t="s">
        <v>386</v>
      </c>
      <c r="C21" s="16">
        <v>5.8680555555555555E-2</v>
      </c>
      <c r="D21" s="16">
        <v>5.8703703703703702E-2</v>
      </c>
      <c r="E21" s="18">
        <f t="shared" si="0"/>
        <v>152100</v>
      </c>
      <c r="F21" s="18">
        <f t="shared" si="1"/>
        <v>152160</v>
      </c>
      <c r="G21" s="15" t="s">
        <v>9</v>
      </c>
      <c r="H21" s="12"/>
      <c r="I21" s="12"/>
      <c r="J21" s="12"/>
      <c r="K21" s="13"/>
      <c r="L21" s="15" t="s">
        <v>387</v>
      </c>
      <c r="M21" s="13" t="s">
        <v>388</v>
      </c>
      <c r="N21" s="11" t="s">
        <v>385</v>
      </c>
    </row>
    <row r="22" spans="1:14">
      <c r="A22" s="15" t="s">
        <v>335</v>
      </c>
      <c r="B22" s="15" t="s">
        <v>389</v>
      </c>
      <c r="C22" s="16">
        <v>5.9282407407407409E-2</v>
      </c>
      <c r="D22" s="16">
        <v>5.9317129629629629E-2</v>
      </c>
      <c r="E22" s="18">
        <f t="shared" si="0"/>
        <v>153660</v>
      </c>
      <c r="F22" s="18">
        <f t="shared" si="1"/>
        <v>153750</v>
      </c>
      <c r="G22" s="15" t="s">
        <v>9</v>
      </c>
      <c r="H22" s="15"/>
      <c r="I22" s="15"/>
      <c r="J22" s="15"/>
      <c r="K22" s="17"/>
      <c r="L22" s="15" t="s">
        <v>390</v>
      </c>
      <c r="M22" s="13" t="s">
        <v>391</v>
      </c>
    </row>
    <row r="23" spans="1:14">
      <c r="A23" s="15" t="s">
        <v>335</v>
      </c>
      <c r="B23" s="15" t="s">
        <v>392</v>
      </c>
      <c r="C23" s="16">
        <v>6.056712962962963E-2</v>
      </c>
      <c r="D23" s="16">
        <v>6.0601851851851851E-2</v>
      </c>
      <c r="E23" s="18">
        <f t="shared" si="0"/>
        <v>156990</v>
      </c>
      <c r="F23" s="18">
        <f t="shared" si="1"/>
        <v>157080</v>
      </c>
      <c r="G23" s="15" t="s">
        <v>9</v>
      </c>
      <c r="H23" s="15"/>
      <c r="I23" s="15"/>
      <c r="J23" s="15"/>
      <c r="K23" s="17"/>
      <c r="L23" s="15" t="s">
        <v>393</v>
      </c>
      <c r="M23" s="13" t="s">
        <v>394</v>
      </c>
    </row>
    <row r="24" spans="1:14">
      <c r="A24" s="12" t="s">
        <v>335</v>
      </c>
      <c r="B24" s="12" t="s">
        <v>395</v>
      </c>
      <c r="C24" s="14">
        <v>6.0821759259259256E-2</v>
      </c>
      <c r="D24" s="14">
        <v>6.0879629629629631E-2</v>
      </c>
      <c r="E24" s="18">
        <f t="shared" si="0"/>
        <v>157650</v>
      </c>
      <c r="F24" s="18">
        <f t="shared" si="1"/>
        <v>157800</v>
      </c>
      <c r="G24" s="12" t="s">
        <v>9</v>
      </c>
      <c r="H24" s="12" t="s">
        <v>289</v>
      </c>
      <c r="I24" s="12">
        <v>1</v>
      </c>
      <c r="J24" s="12" t="s">
        <v>337</v>
      </c>
      <c r="K24" s="13"/>
      <c r="L24" s="12" t="s">
        <v>396</v>
      </c>
      <c r="M24" s="13"/>
    </row>
    <row r="25" spans="1:14">
      <c r="A25" s="15" t="s">
        <v>335</v>
      </c>
      <c r="B25" s="15" t="s">
        <v>397</v>
      </c>
      <c r="C25" s="16">
        <v>6.0949074074074072E-2</v>
      </c>
      <c r="D25" s="16">
        <v>6.0995370370370373E-2</v>
      </c>
      <c r="E25" s="18">
        <f t="shared" si="0"/>
        <v>157980</v>
      </c>
      <c r="F25" s="18">
        <f t="shared" si="1"/>
        <v>158100</v>
      </c>
      <c r="G25" s="15" t="s">
        <v>9</v>
      </c>
      <c r="H25" s="15" t="s">
        <v>289</v>
      </c>
      <c r="I25" s="15">
        <v>0.5</v>
      </c>
      <c r="J25" s="12" t="s">
        <v>337</v>
      </c>
      <c r="K25" s="17"/>
      <c r="L25" s="15" t="s">
        <v>398</v>
      </c>
      <c r="M25" s="13" t="s">
        <v>399</v>
      </c>
      <c r="N25" s="11" t="s">
        <v>385</v>
      </c>
    </row>
    <row r="26" spans="1:14">
      <c r="A26" s="15" t="s">
        <v>335</v>
      </c>
      <c r="B26" s="15" t="s">
        <v>400</v>
      </c>
      <c r="C26" s="16">
        <v>6.6481481481481475E-2</v>
      </c>
      <c r="D26" s="16">
        <v>6.6504629629629636E-2</v>
      </c>
      <c r="E26" s="18">
        <f t="shared" si="0"/>
        <v>172320</v>
      </c>
      <c r="F26" s="18">
        <f t="shared" si="1"/>
        <v>172380</v>
      </c>
      <c r="G26" s="15" t="s">
        <v>9</v>
      </c>
      <c r="H26" s="15"/>
      <c r="I26" s="15"/>
      <c r="J26" s="15"/>
      <c r="K26" s="17"/>
      <c r="L26" s="15" t="s">
        <v>401</v>
      </c>
      <c r="M26" s="44" t="s">
        <v>402</v>
      </c>
    </row>
    <row r="27" spans="1:14">
      <c r="A27" s="15" t="s">
        <v>335</v>
      </c>
      <c r="B27" s="15" t="s">
        <v>403</v>
      </c>
      <c r="C27" s="16">
        <v>6.6562499999999997E-2</v>
      </c>
      <c r="D27" s="16">
        <v>6.6597222222222224E-2</v>
      </c>
      <c r="E27" s="18">
        <f t="shared" si="0"/>
        <v>172530</v>
      </c>
      <c r="F27" s="18">
        <f t="shared" si="1"/>
        <v>172620</v>
      </c>
      <c r="G27" s="15" t="s">
        <v>9</v>
      </c>
      <c r="H27" s="15"/>
      <c r="I27" s="15"/>
      <c r="J27" s="15"/>
      <c r="K27" s="17"/>
      <c r="L27" s="15" t="s">
        <v>401</v>
      </c>
      <c r="M27" s="44"/>
    </row>
    <row r="28" spans="1:14">
      <c r="A28" s="12" t="s">
        <v>335</v>
      </c>
      <c r="B28" s="12" t="s">
        <v>404</v>
      </c>
      <c r="C28" s="14">
        <v>6.8981481481481477E-2</v>
      </c>
      <c r="D28" s="14">
        <v>6.9120370370370374E-2</v>
      </c>
      <c r="E28" s="18">
        <f t="shared" si="0"/>
        <v>178800</v>
      </c>
      <c r="F28" s="18">
        <f t="shared" si="1"/>
        <v>179160</v>
      </c>
      <c r="G28" s="12" t="s">
        <v>9</v>
      </c>
      <c r="H28" s="12" t="s">
        <v>289</v>
      </c>
      <c r="I28" s="12">
        <v>2</v>
      </c>
      <c r="J28" s="12" t="s">
        <v>337</v>
      </c>
      <c r="K28" s="13"/>
      <c r="L28" s="12" t="s">
        <v>405</v>
      </c>
      <c r="M28" s="13"/>
    </row>
    <row r="29" spans="1:14">
      <c r="A29" s="12" t="s">
        <v>335</v>
      </c>
      <c r="B29" s="12" t="s">
        <v>406</v>
      </c>
      <c r="C29" s="14">
        <v>6.9675925925925933E-2</v>
      </c>
      <c r="D29" s="14">
        <v>7.003472222222222E-2</v>
      </c>
      <c r="E29" s="18">
        <f t="shared" si="0"/>
        <v>180600</v>
      </c>
      <c r="F29" s="18">
        <f t="shared" si="1"/>
        <v>181530</v>
      </c>
      <c r="G29" s="12" t="s">
        <v>9</v>
      </c>
      <c r="H29" s="12" t="s">
        <v>290</v>
      </c>
      <c r="I29" s="12">
        <v>5</v>
      </c>
      <c r="J29" s="12" t="s">
        <v>337</v>
      </c>
      <c r="K29" s="13"/>
      <c r="L29" s="12" t="s">
        <v>407</v>
      </c>
      <c r="M29" s="13"/>
    </row>
    <row r="30" spans="1:14">
      <c r="A30" s="12" t="s">
        <v>335</v>
      </c>
      <c r="B30" s="12" t="s">
        <v>408</v>
      </c>
      <c r="C30" s="14">
        <v>7.0914351851851853E-2</v>
      </c>
      <c r="D30" s="14">
        <v>7.1539351851851854E-2</v>
      </c>
      <c r="E30" s="18">
        <f t="shared" si="0"/>
        <v>183810</v>
      </c>
      <c r="F30" s="18">
        <f t="shared" si="1"/>
        <v>185430</v>
      </c>
      <c r="G30" s="12" t="s">
        <v>9</v>
      </c>
      <c r="H30" s="12" t="s">
        <v>290</v>
      </c>
      <c r="I30" s="12">
        <v>12</v>
      </c>
      <c r="J30" s="12" t="s">
        <v>337</v>
      </c>
      <c r="K30" s="13"/>
      <c r="L30" s="12" t="s">
        <v>409</v>
      </c>
      <c r="M30" s="13"/>
    </row>
    <row r="31" spans="1:14" ht="18" customHeight="1">
      <c r="A31" s="15" t="s">
        <v>335</v>
      </c>
      <c r="B31" s="15" t="s">
        <v>410</v>
      </c>
      <c r="C31" s="16">
        <v>7.2951388888888885E-2</v>
      </c>
      <c r="D31" s="16">
        <v>7.300925925925926E-2</v>
      </c>
      <c r="E31" s="18">
        <f t="shared" si="0"/>
        <v>189090</v>
      </c>
      <c r="F31" s="18">
        <f t="shared" si="1"/>
        <v>189240</v>
      </c>
      <c r="G31" s="15" t="s">
        <v>9</v>
      </c>
      <c r="H31" s="15" t="s">
        <v>289</v>
      </c>
      <c r="I31" s="15">
        <v>0.5</v>
      </c>
      <c r="J31" s="15" t="s">
        <v>337</v>
      </c>
      <c r="K31" s="17"/>
      <c r="L31" s="15" t="s">
        <v>411</v>
      </c>
      <c r="M31" s="13" t="s">
        <v>412</v>
      </c>
    </row>
    <row r="32" spans="1:14">
      <c r="A32" s="12" t="s">
        <v>335</v>
      </c>
      <c r="B32" s="12" t="s">
        <v>413</v>
      </c>
      <c r="C32" s="14">
        <v>7.3067129629629635E-2</v>
      </c>
      <c r="D32" s="14">
        <v>7.318287037037037E-2</v>
      </c>
      <c r="E32" s="18">
        <f t="shared" si="0"/>
        <v>189390</v>
      </c>
      <c r="F32" s="18">
        <f t="shared" si="1"/>
        <v>189690</v>
      </c>
      <c r="G32" s="12" t="s">
        <v>9</v>
      </c>
      <c r="H32" s="12" t="s">
        <v>289</v>
      </c>
      <c r="I32" s="12">
        <v>3</v>
      </c>
      <c r="J32" s="12" t="s">
        <v>337</v>
      </c>
      <c r="K32" s="13"/>
      <c r="L32" s="12" t="s">
        <v>411</v>
      </c>
      <c r="M32" s="13"/>
    </row>
    <row r="33" spans="1:15">
      <c r="A33" s="15" t="s">
        <v>335</v>
      </c>
      <c r="B33" s="15" t="s">
        <v>414</v>
      </c>
      <c r="C33" s="16">
        <v>7.3703703703703702E-2</v>
      </c>
      <c r="D33" s="16">
        <v>7.3738425925925929E-2</v>
      </c>
      <c r="E33" s="18">
        <f t="shared" si="0"/>
        <v>191040</v>
      </c>
      <c r="F33" s="18">
        <f t="shared" si="1"/>
        <v>191130</v>
      </c>
      <c r="G33" s="15" t="s">
        <v>9</v>
      </c>
      <c r="H33" s="15" t="s">
        <v>290</v>
      </c>
      <c r="I33" s="15">
        <v>0.5</v>
      </c>
      <c r="J33" s="15" t="s">
        <v>337</v>
      </c>
      <c r="K33" s="17"/>
      <c r="L33" s="15" t="s">
        <v>415</v>
      </c>
      <c r="M33" s="13" t="s">
        <v>416</v>
      </c>
    </row>
    <row r="34" spans="1:15">
      <c r="A34" s="15" t="s">
        <v>335</v>
      </c>
      <c r="B34" s="15" t="s">
        <v>417</v>
      </c>
      <c r="C34" s="16">
        <v>7.408564814814815E-2</v>
      </c>
      <c r="D34" s="16">
        <v>7.4108796296296298E-2</v>
      </c>
      <c r="E34" s="18">
        <f t="shared" si="0"/>
        <v>192030</v>
      </c>
      <c r="F34" s="18">
        <f t="shared" si="1"/>
        <v>192090</v>
      </c>
      <c r="G34" s="15" t="s">
        <v>9</v>
      </c>
      <c r="H34" s="15"/>
      <c r="I34" s="15"/>
      <c r="J34" s="15"/>
      <c r="K34" s="17"/>
      <c r="L34" s="15" t="s">
        <v>418</v>
      </c>
      <c r="M34" s="13" t="s">
        <v>419</v>
      </c>
    </row>
    <row r="35" spans="1:15">
      <c r="A35" s="15" t="s">
        <v>335</v>
      </c>
      <c r="B35" s="15" t="s">
        <v>420</v>
      </c>
      <c r="C35" s="16">
        <v>7.9085648148148155E-2</v>
      </c>
      <c r="D35" s="16">
        <v>7.9131944444444449E-2</v>
      </c>
      <c r="E35" s="18">
        <f t="shared" si="0"/>
        <v>204990</v>
      </c>
      <c r="F35" s="18">
        <f t="shared" si="1"/>
        <v>205110</v>
      </c>
      <c r="G35" s="15" t="s">
        <v>9</v>
      </c>
      <c r="H35" s="15"/>
      <c r="I35" s="15"/>
      <c r="J35" s="15"/>
      <c r="K35" s="17"/>
      <c r="L35" s="15" t="s">
        <v>421</v>
      </c>
      <c r="M35" s="13" t="s">
        <v>422</v>
      </c>
    </row>
    <row r="36" spans="1:15" ht="29.25">
      <c r="A36" s="12" t="s">
        <v>335</v>
      </c>
      <c r="B36" s="12" t="s">
        <v>423</v>
      </c>
      <c r="C36" s="14">
        <v>8.1192129629629628E-2</v>
      </c>
      <c r="D36" s="14">
        <v>8.1261574074074069E-2</v>
      </c>
      <c r="E36" s="18">
        <f t="shared" si="0"/>
        <v>210450</v>
      </c>
      <c r="F36" s="18">
        <f t="shared" si="1"/>
        <v>210630</v>
      </c>
      <c r="G36" s="12" t="s">
        <v>9</v>
      </c>
      <c r="H36" s="12" t="s">
        <v>290</v>
      </c>
      <c r="I36" s="12">
        <v>1</v>
      </c>
      <c r="J36" s="12" t="s">
        <v>337</v>
      </c>
      <c r="K36" s="13" t="s">
        <v>424</v>
      </c>
      <c r="L36" s="12"/>
      <c r="M36" s="13"/>
    </row>
    <row r="37" spans="1:15">
      <c r="A37" s="12" t="s">
        <v>335</v>
      </c>
      <c r="B37" s="12" t="s">
        <v>425</v>
      </c>
      <c r="C37" s="14">
        <v>8.2106481481481475E-2</v>
      </c>
      <c r="D37" s="14">
        <v>8.2152777777777783E-2</v>
      </c>
      <c r="E37" s="18">
        <f t="shared" si="0"/>
        <v>212820</v>
      </c>
      <c r="F37" s="18">
        <f t="shared" si="1"/>
        <v>212940</v>
      </c>
      <c r="G37" s="12" t="s">
        <v>9</v>
      </c>
      <c r="H37" s="12" t="s">
        <v>289</v>
      </c>
      <c r="I37" s="12">
        <v>1</v>
      </c>
      <c r="J37" s="12" t="s">
        <v>337</v>
      </c>
      <c r="K37" s="13" t="s">
        <v>426</v>
      </c>
      <c r="L37" s="12" t="s">
        <v>427</v>
      </c>
      <c r="M37" s="13"/>
    </row>
    <row r="38" spans="1:15">
      <c r="A38" s="15" t="s">
        <v>335</v>
      </c>
      <c r="B38" s="15" t="s">
        <v>428</v>
      </c>
      <c r="C38" s="16">
        <v>8.2268518518518519E-2</v>
      </c>
      <c r="D38" s="16">
        <v>8.2314814814814813E-2</v>
      </c>
      <c r="E38" s="18">
        <f t="shared" si="0"/>
        <v>213240</v>
      </c>
      <c r="F38" s="18">
        <f t="shared" si="1"/>
        <v>213360</v>
      </c>
      <c r="G38" s="15" t="s">
        <v>9</v>
      </c>
      <c r="H38" s="15"/>
      <c r="I38" s="15"/>
      <c r="J38" s="15"/>
      <c r="K38" s="17"/>
      <c r="L38" s="15" t="s">
        <v>429</v>
      </c>
      <c r="M38" s="13" t="s">
        <v>430</v>
      </c>
    </row>
    <row r="39" spans="1:15">
      <c r="A39" s="12" t="s">
        <v>335</v>
      </c>
      <c r="B39" s="12" t="s">
        <v>431</v>
      </c>
      <c r="C39" s="14">
        <v>8.2812499999999997E-2</v>
      </c>
      <c r="D39" s="14">
        <v>8.2997685185185188E-2</v>
      </c>
      <c r="E39" s="18">
        <f t="shared" si="0"/>
        <v>214650</v>
      </c>
      <c r="F39" s="18">
        <f t="shared" si="1"/>
        <v>215130</v>
      </c>
      <c r="G39" s="12" t="s">
        <v>9</v>
      </c>
      <c r="H39" s="12" t="s">
        <v>290</v>
      </c>
      <c r="I39" s="12">
        <v>4</v>
      </c>
      <c r="J39" s="12" t="s">
        <v>337</v>
      </c>
      <c r="K39" s="13" t="s">
        <v>358</v>
      </c>
      <c r="L39" s="12" t="s">
        <v>432</v>
      </c>
      <c r="M39" s="13"/>
    </row>
    <row r="40" spans="1:15" ht="29.25">
      <c r="A40" s="12" t="s">
        <v>335</v>
      </c>
      <c r="B40" s="12" t="s">
        <v>433</v>
      </c>
      <c r="C40" s="14">
        <v>8.369212962962963E-2</v>
      </c>
      <c r="D40" s="14">
        <v>8.3750000000000005E-2</v>
      </c>
      <c r="E40" s="18">
        <f t="shared" si="0"/>
        <v>216930</v>
      </c>
      <c r="F40" s="18">
        <f t="shared" si="1"/>
        <v>217080</v>
      </c>
      <c r="G40" s="12" t="s">
        <v>9</v>
      </c>
      <c r="H40" s="12" t="s">
        <v>290</v>
      </c>
      <c r="I40" s="12">
        <v>1</v>
      </c>
      <c r="J40" s="12" t="s">
        <v>337</v>
      </c>
      <c r="K40" s="13" t="s">
        <v>424</v>
      </c>
      <c r="L40" s="12" t="s">
        <v>434</v>
      </c>
      <c r="M40" s="13"/>
    </row>
    <row r="41" spans="1:15" ht="16.5" customHeight="1">
      <c r="A41" s="12" t="s">
        <v>335</v>
      </c>
      <c r="B41" s="12" t="s">
        <v>435</v>
      </c>
      <c r="C41" s="14">
        <v>8.4537037037037036E-2</v>
      </c>
      <c r="D41" s="14">
        <v>8.4849537037037043E-2</v>
      </c>
      <c r="E41" s="18">
        <f t="shared" si="0"/>
        <v>219120</v>
      </c>
      <c r="F41" s="18">
        <f t="shared" si="1"/>
        <v>219930</v>
      </c>
      <c r="G41" s="12" t="s">
        <v>9</v>
      </c>
      <c r="H41" s="12" t="s">
        <v>290</v>
      </c>
      <c r="I41" s="12">
        <v>6</v>
      </c>
      <c r="J41" s="12" t="s">
        <v>337</v>
      </c>
      <c r="K41" s="13" t="s">
        <v>436</v>
      </c>
      <c r="L41" s="12" t="s">
        <v>437</v>
      </c>
      <c r="M41" s="13"/>
    </row>
    <row r="42" spans="1:15">
      <c r="A42" s="12" t="s">
        <v>335</v>
      </c>
      <c r="B42" s="12" t="s">
        <v>438</v>
      </c>
      <c r="C42" s="14">
        <v>9.5289351851851847E-2</v>
      </c>
      <c r="D42" s="14">
        <v>9.5486111111111105E-2</v>
      </c>
      <c r="E42" s="18">
        <f t="shared" si="0"/>
        <v>246990</v>
      </c>
      <c r="F42" s="18">
        <f t="shared" si="1"/>
        <v>247500</v>
      </c>
      <c r="G42" s="12" t="s">
        <v>9</v>
      </c>
      <c r="H42" s="12" t="s">
        <v>290</v>
      </c>
      <c r="I42" s="12">
        <v>4</v>
      </c>
      <c r="J42" s="12" t="s">
        <v>337</v>
      </c>
      <c r="K42" s="13"/>
      <c r="L42" s="12" t="s">
        <v>439</v>
      </c>
      <c r="M42" s="13"/>
    </row>
    <row r="43" spans="1:15" ht="45.75">
      <c r="A43" s="12" t="s">
        <v>335</v>
      </c>
      <c r="B43" s="12" t="s">
        <v>440</v>
      </c>
      <c r="C43" s="14">
        <v>9.5613425925925921E-2</v>
      </c>
      <c r="D43" s="14">
        <v>9.599537037037037E-2</v>
      </c>
      <c r="E43" s="18">
        <f t="shared" si="0"/>
        <v>247830</v>
      </c>
      <c r="F43" s="18">
        <f t="shared" si="1"/>
        <v>248820</v>
      </c>
      <c r="G43" s="12" t="s">
        <v>9</v>
      </c>
      <c r="H43" s="12" t="s">
        <v>290</v>
      </c>
      <c r="I43" s="12">
        <v>9</v>
      </c>
      <c r="J43" s="12" t="s">
        <v>337</v>
      </c>
      <c r="K43" s="13"/>
      <c r="L43" s="12" t="s">
        <v>441</v>
      </c>
      <c r="M43" s="13"/>
      <c r="N43" s="11" t="s">
        <v>442</v>
      </c>
      <c r="O43" s="11" t="s">
        <v>443</v>
      </c>
    </row>
    <row r="44" spans="1:15">
      <c r="A44" s="12" t="s">
        <v>335</v>
      </c>
      <c r="B44" s="12" t="s">
        <v>444</v>
      </c>
      <c r="C44" s="14">
        <v>0.10141203703703704</v>
      </c>
      <c r="D44" s="14">
        <v>0.10153935185185185</v>
      </c>
      <c r="E44" s="18">
        <f t="shared" si="0"/>
        <v>262860</v>
      </c>
      <c r="F44" s="18">
        <f t="shared" si="1"/>
        <v>263190</v>
      </c>
      <c r="G44" s="12" t="s">
        <v>9</v>
      </c>
      <c r="H44" s="12" t="s">
        <v>290</v>
      </c>
      <c r="I44" s="12">
        <v>3</v>
      </c>
      <c r="J44" s="12" t="s">
        <v>337</v>
      </c>
      <c r="K44" s="13"/>
      <c r="L44" s="12" t="s">
        <v>445</v>
      </c>
      <c r="M44" s="13"/>
      <c r="N44" s="11" t="s">
        <v>446</v>
      </c>
      <c r="O44" s="10" t="s">
        <v>447</v>
      </c>
    </row>
    <row r="45" spans="1:15" ht="30.75">
      <c r="A45" s="12" t="s">
        <v>335</v>
      </c>
      <c r="B45" s="12" t="s">
        <v>448</v>
      </c>
      <c r="C45" s="14">
        <v>0.10167824074074074</v>
      </c>
      <c r="D45" s="14">
        <v>0.10172453703703704</v>
      </c>
      <c r="E45" s="18">
        <f t="shared" si="0"/>
        <v>263550</v>
      </c>
      <c r="F45" s="18">
        <f t="shared" si="1"/>
        <v>263670</v>
      </c>
      <c r="G45" s="12" t="s">
        <v>9</v>
      </c>
      <c r="H45" s="12" t="s">
        <v>289</v>
      </c>
      <c r="I45" s="12">
        <v>1</v>
      </c>
      <c r="J45" s="12" t="s">
        <v>337</v>
      </c>
      <c r="K45" s="13"/>
      <c r="L45" s="12" t="s">
        <v>449</v>
      </c>
      <c r="M45" s="13"/>
      <c r="N45" s="11" t="s">
        <v>450</v>
      </c>
      <c r="O45" s="11" t="s">
        <v>451</v>
      </c>
    </row>
    <row r="46" spans="1:15">
      <c r="A46" s="12" t="s">
        <v>335</v>
      </c>
      <c r="B46" s="12" t="s">
        <v>452</v>
      </c>
      <c r="C46" s="14">
        <v>0.10212962962962963</v>
      </c>
      <c r="D46" s="14">
        <v>0.10221064814814815</v>
      </c>
      <c r="E46" s="18">
        <f t="shared" si="0"/>
        <v>264720</v>
      </c>
      <c r="F46" s="18">
        <f t="shared" si="1"/>
        <v>264930</v>
      </c>
      <c r="G46" s="12" t="s">
        <v>9</v>
      </c>
      <c r="H46" s="12" t="s">
        <v>289</v>
      </c>
      <c r="I46" s="12">
        <v>2</v>
      </c>
      <c r="J46" s="12" t="s">
        <v>337</v>
      </c>
      <c r="K46" s="13"/>
      <c r="L46" s="12" t="s">
        <v>453</v>
      </c>
      <c r="M46" s="13"/>
    </row>
    <row r="47" spans="1:15">
      <c r="A47" s="12" t="s">
        <v>335</v>
      </c>
      <c r="B47" s="12" t="s">
        <v>452</v>
      </c>
      <c r="C47" s="14">
        <v>0.10222222222222223</v>
      </c>
      <c r="D47" s="14">
        <v>0.10226851851851852</v>
      </c>
      <c r="E47" s="18">
        <f t="shared" si="0"/>
        <v>264960</v>
      </c>
      <c r="F47" s="18">
        <f t="shared" si="1"/>
        <v>265080</v>
      </c>
      <c r="G47" s="12" t="s">
        <v>9</v>
      </c>
      <c r="H47" s="12" t="s">
        <v>290</v>
      </c>
      <c r="I47" s="12">
        <v>1</v>
      </c>
      <c r="J47" s="12" t="s">
        <v>337</v>
      </c>
      <c r="K47" s="13"/>
      <c r="L47" s="12" t="s">
        <v>453</v>
      </c>
      <c r="M47" s="13"/>
    </row>
    <row r="48" spans="1:15">
      <c r="A48" s="12" t="s">
        <v>335</v>
      </c>
      <c r="B48" s="12" t="s">
        <v>454</v>
      </c>
      <c r="C48" s="14">
        <v>0.1024537037037037</v>
      </c>
      <c r="D48" s="14">
        <v>0.10268518518518518</v>
      </c>
      <c r="E48" s="18">
        <f t="shared" si="0"/>
        <v>265560</v>
      </c>
      <c r="F48" s="18">
        <f t="shared" si="1"/>
        <v>266160</v>
      </c>
      <c r="G48" s="12" t="s">
        <v>9</v>
      </c>
      <c r="H48" s="12" t="s">
        <v>290</v>
      </c>
      <c r="I48" s="12">
        <v>6</v>
      </c>
      <c r="J48" s="12" t="s">
        <v>337</v>
      </c>
      <c r="K48" s="13"/>
      <c r="L48" s="12" t="s">
        <v>455</v>
      </c>
      <c r="M48" s="13"/>
    </row>
    <row r="49" spans="1:15">
      <c r="A49" s="12" t="s">
        <v>335</v>
      </c>
      <c r="B49" s="12" t="s">
        <v>456</v>
      </c>
      <c r="C49" s="14">
        <v>0.10295138888888888</v>
      </c>
      <c r="D49" s="14">
        <v>0.10302083333333334</v>
      </c>
      <c r="E49" s="18">
        <f t="shared" si="0"/>
        <v>266850</v>
      </c>
      <c r="F49" s="18">
        <f t="shared" si="1"/>
        <v>267030</v>
      </c>
      <c r="G49" s="12" t="s">
        <v>9</v>
      </c>
      <c r="H49" s="12" t="s">
        <v>289</v>
      </c>
      <c r="I49" s="12">
        <v>2</v>
      </c>
      <c r="J49" s="12" t="s">
        <v>337</v>
      </c>
      <c r="K49" s="13"/>
      <c r="L49" s="12" t="s">
        <v>457</v>
      </c>
      <c r="M49" s="13"/>
    </row>
    <row r="50" spans="1:15">
      <c r="A50" s="12" t="s">
        <v>335</v>
      </c>
      <c r="B50" s="12" t="s">
        <v>458</v>
      </c>
      <c r="C50" s="14">
        <v>0.10312499999999999</v>
      </c>
      <c r="D50" s="14">
        <v>0.10319444444444445</v>
      </c>
      <c r="E50" s="18">
        <f t="shared" si="0"/>
        <v>267300</v>
      </c>
      <c r="F50" s="18">
        <f t="shared" si="1"/>
        <v>267480</v>
      </c>
      <c r="G50" s="12" t="s">
        <v>9</v>
      </c>
      <c r="H50" s="12" t="s">
        <v>289</v>
      </c>
      <c r="I50" s="12">
        <v>2</v>
      </c>
      <c r="J50" s="12" t="s">
        <v>337</v>
      </c>
      <c r="K50" s="13"/>
      <c r="L50" s="12" t="s">
        <v>459</v>
      </c>
      <c r="M50" s="13"/>
      <c r="N50" s="11" t="s">
        <v>460</v>
      </c>
      <c r="O50" s="10" t="s">
        <v>461</v>
      </c>
    </row>
    <row r="51" spans="1:15">
      <c r="A51" s="12" t="s">
        <v>335</v>
      </c>
      <c r="B51" s="12" t="s">
        <v>458</v>
      </c>
      <c r="C51" s="14">
        <v>0.10324074074074074</v>
      </c>
      <c r="D51" s="14">
        <v>0.10333333333333333</v>
      </c>
      <c r="E51" s="18">
        <f t="shared" si="0"/>
        <v>267600</v>
      </c>
      <c r="F51" s="18">
        <f t="shared" si="1"/>
        <v>267840</v>
      </c>
      <c r="G51" s="12" t="s">
        <v>9</v>
      </c>
      <c r="H51" s="12" t="s">
        <v>289</v>
      </c>
      <c r="I51" s="12">
        <v>2</v>
      </c>
      <c r="J51" s="12" t="s">
        <v>337</v>
      </c>
      <c r="K51" s="13"/>
      <c r="L51" s="12" t="s">
        <v>459</v>
      </c>
      <c r="M51" s="13"/>
    </row>
    <row r="52" spans="1:15">
      <c r="A52" s="12" t="s">
        <v>335</v>
      </c>
      <c r="B52" s="12" t="s">
        <v>462</v>
      </c>
      <c r="C52" s="14">
        <v>0.10381944444444445</v>
      </c>
      <c r="D52" s="14">
        <v>0.10392361111111111</v>
      </c>
      <c r="E52" s="18">
        <f t="shared" si="0"/>
        <v>269100</v>
      </c>
      <c r="F52" s="18">
        <f t="shared" si="1"/>
        <v>269370</v>
      </c>
      <c r="G52" s="12" t="s">
        <v>9</v>
      </c>
      <c r="H52" s="12" t="s">
        <v>289</v>
      </c>
      <c r="I52" s="12">
        <v>2.5</v>
      </c>
      <c r="J52" s="12" t="s">
        <v>337</v>
      </c>
      <c r="K52" s="13"/>
      <c r="L52" s="12" t="s">
        <v>463</v>
      </c>
      <c r="M52" s="13" t="s">
        <v>464</v>
      </c>
    </row>
    <row r="53" spans="1:15">
      <c r="A53" s="12" t="s">
        <v>335</v>
      </c>
      <c r="B53" s="12" t="s">
        <v>465</v>
      </c>
      <c r="C53" s="14">
        <v>0.10395833333333333</v>
      </c>
      <c r="D53" s="14">
        <v>0.10401620370370371</v>
      </c>
      <c r="E53" s="18">
        <f t="shared" si="0"/>
        <v>269460</v>
      </c>
      <c r="F53" s="18">
        <f t="shared" si="1"/>
        <v>269610</v>
      </c>
      <c r="G53" s="12" t="s">
        <v>9</v>
      </c>
      <c r="H53" s="12" t="s">
        <v>289</v>
      </c>
      <c r="I53" s="12">
        <v>2</v>
      </c>
      <c r="J53" s="12" t="s">
        <v>337</v>
      </c>
      <c r="K53" s="13"/>
      <c r="L53" s="12" t="s">
        <v>463</v>
      </c>
      <c r="M53" s="13"/>
    </row>
    <row r="54" spans="1:15">
      <c r="A54" s="12" t="s">
        <v>335</v>
      </c>
      <c r="B54" s="12" t="s">
        <v>466</v>
      </c>
      <c r="C54" s="14">
        <v>0.10405092592592592</v>
      </c>
      <c r="D54" s="14">
        <v>0.10413194444444444</v>
      </c>
      <c r="E54" s="18">
        <f t="shared" si="0"/>
        <v>269700</v>
      </c>
      <c r="F54" s="18">
        <f t="shared" si="1"/>
        <v>269910</v>
      </c>
      <c r="G54" s="12" t="s">
        <v>9</v>
      </c>
      <c r="H54" s="12" t="s">
        <v>289</v>
      </c>
      <c r="I54" s="12">
        <v>3</v>
      </c>
      <c r="J54" s="12" t="s">
        <v>337</v>
      </c>
      <c r="K54" s="13"/>
      <c r="L54" s="12" t="s">
        <v>467</v>
      </c>
      <c r="M54" s="13"/>
    </row>
    <row r="55" spans="1:15">
      <c r="A55" s="12" t="s">
        <v>335</v>
      </c>
      <c r="B55" s="12" t="s">
        <v>468</v>
      </c>
      <c r="C55" s="14">
        <v>0.10428240740740741</v>
      </c>
      <c r="D55" s="14">
        <v>0.1043287037037037</v>
      </c>
      <c r="E55" s="18">
        <f t="shared" si="0"/>
        <v>270300</v>
      </c>
      <c r="F55" s="18">
        <f t="shared" si="1"/>
        <v>270420</v>
      </c>
      <c r="G55" s="12" t="s">
        <v>9</v>
      </c>
      <c r="H55" s="12" t="s">
        <v>289</v>
      </c>
      <c r="I55" s="12">
        <v>2</v>
      </c>
      <c r="J55" s="12" t="s">
        <v>337</v>
      </c>
      <c r="K55" s="13"/>
      <c r="L55" s="12" t="s">
        <v>467</v>
      </c>
      <c r="M55" s="13"/>
    </row>
    <row r="56" spans="1:15">
      <c r="A56" s="12" t="s">
        <v>335</v>
      </c>
      <c r="B56" s="12" t="s">
        <v>469</v>
      </c>
      <c r="C56" s="14">
        <v>0.104375</v>
      </c>
      <c r="D56" s="14">
        <v>0.10451388888888889</v>
      </c>
      <c r="E56" s="18">
        <f t="shared" si="0"/>
        <v>270540</v>
      </c>
      <c r="F56" s="18">
        <f t="shared" si="1"/>
        <v>270900</v>
      </c>
      <c r="G56" s="12" t="s">
        <v>9</v>
      </c>
      <c r="H56" s="12" t="s">
        <v>289</v>
      </c>
      <c r="I56" s="12">
        <v>4</v>
      </c>
      <c r="J56" s="12" t="s">
        <v>337</v>
      </c>
      <c r="K56" s="13"/>
      <c r="L56" s="12" t="s">
        <v>467</v>
      </c>
      <c r="M56" s="13"/>
    </row>
    <row r="57" spans="1:15">
      <c r="A57" s="12" t="s">
        <v>335</v>
      </c>
      <c r="B57" s="12" t="s">
        <v>470</v>
      </c>
      <c r="C57" s="14">
        <v>0.10454861111111111</v>
      </c>
      <c r="D57" s="14">
        <v>0.10466435185185186</v>
      </c>
      <c r="E57" s="18">
        <f t="shared" si="0"/>
        <v>270990</v>
      </c>
      <c r="F57" s="18">
        <f t="shared" si="1"/>
        <v>271290</v>
      </c>
      <c r="G57" s="12" t="s">
        <v>9</v>
      </c>
      <c r="H57" s="12" t="s">
        <v>289</v>
      </c>
      <c r="I57" s="12">
        <v>2.5</v>
      </c>
      <c r="J57" s="12" t="s">
        <v>337</v>
      </c>
      <c r="K57" s="13"/>
      <c r="L57" s="12" t="s">
        <v>467</v>
      </c>
      <c r="M57" s="13"/>
    </row>
    <row r="58" spans="1:15">
      <c r="A58" s="12" t="s">
        <v>335</v>
      </c>
      <c r="B58" s="12" t="s">
        <v>471</v>
      </c>
      <c r="C58" s="14">
        <v>0.1046875</v>
      </c>
      <c r="D58" s="14">
        <v>0.10486111111111111</v>
      </c>
      <c r="E58" s="18">
        <f t="shared" si="0"/>
        <v>271350</v>
      </c>
      <c r="F58" s="18">
        <f t="shared" si="1"/>
        <v>271800</v>
      </c>
      <c r="G58" s="12" t="s">
        <v>9</v>
      </c>
      <c r="H58" s="12" t="s">
        <v>290</v>
      </c>
      <c r="I58" s="12">
        <v>4</v>
      </c>
      <c r="J58" s="12" t="s">
        <v>337</v>
      </c>
      <c r="K58" s="13"/>
      <c r="L58" s="12" t="s">
        <v>472</v>
      </c>
      <c r="M58" s="13"/>
    </row>
    <row r="59" spans="1:15">
      <c r="A59" s="12" t="s">
        <v>335</v>
      </c>
      <c r="B59" s="12" t="s">
        <v>473</v>
      </c>
      <c r="C59" s="14">
        <v>0.10503472222222222</v>
      </c>
      <c r="D59" s="14">
        <v>0.10506944444444444</v>
      </c>
      <c r="E59" s="18">
        <f t="shared" si="0"/>
        <v>272250</v>
      </c>
      <c r="F59" s="18">
        <f t="shared" si="1"/>
        <v>272340</v>
      </c>
      <c r="G59" s="12" t="s">
        <v>9</v>
      </c>
      <c r="H59" s="12" t="s">
        <v>290</v>
      </c>
      <c r="I59" s="12">
        <v>1</v>
      </c>
      <c r="J59" s="12" t="s">
        <v>337</v>
      </c>
      <c r="K59" s="13"/>
      <c r="L59" s="12" t="s">
        <v>474</v>
      </c>
      <c r="M59" s="13"/>
    </row>
    <row r="60" spans="1:15">
      <c r="A60" s="12" t="s">
        <v>335</v>
      </c>
      <c r="B60" s="12" t="s">
        <v>473</v>
      </c>
      <c r="C60" s="14">
        <v>0.10510416666666667</v>
      </c>
      <c r="D60" s="14">
        <v>0.1052199074074074</v>
      </c>
      <c r="E60" s="18">
        <f t="shared" si="0"/>
        <v>272430</v>
      </c>
      <c r="F60" s="18">
        <f t="shared" si="1"/>
        <v>272730</v>
      </c>
      <c r="G60" s="12" t="s">
        <v>9</v>
      </c>
      <c r="H60" s="12" t="s">
        <v>290</v>
      </c>
      <c r="I60" s="12">
        <v>2.5</v>
      </c>
      <c r="J60" s="12" t="s">
        <v>337</v>
      </c>
      <c r="K60" s="13"/>
      <c r="L60" s="12" t="s">
        <v>474</v>
      </c>
      <c r="M60" s="13" t="s">
        <v>464</v>
      </c>
    </row>
    <row r="61" spans="1:15">
      <c r="A61" s="12" t="s">
        <v>335</v>
      </c>
      <c r="B61" s="12" t="s">
        <v>473</v>
      </c>
      <c r="C61" s="14">
        <v>0.10526620370370371</v>
      </c>
      <c r="D61" s="14">
        <v>0.10530092592592592</v>
      </c>
      <c r="E61" s="18">
        <f t="shared" si="0"/>
        <v>272850</v>
      </c>
      <c r="F61" s="18">
        <f t="shared" si="1"/>
        <v>272940</v>
      </c>
      <c r="G61" s="12" t="s">
        <v>9</v>
      </c>
      <c r="H61" s="12" t="s">
        <v>289</v>
      </c>
      <c r="I61" s="12">
        <v>1</v>
      </c>
      <c r="J61" s="12" t="s">
        <v>337</v>
      </c>
      <c r="K61" s="13"/>
      <c r="L61" s="12" t="s">
        <v>474</v>
      </c>
      <c r="M61" s="13"/>
    </row>
    <row r="62" spans="1:15">
      <c r="A62" s="12" t="s">
        <v>335</v>
      </c>
      <c r="B62" s="12" t="s">
        <v>475</v>
      </c>
      <c r="C62" s="14">
        <v>0.10555555555555556</v>
      </c>
      <c r="D62" s="14">
        <v>0.10599537037037036</v>
      </c>
      <c r="E62" s="18">
        <f t="shared" si="0"/>
        <v>273600</v>
      </c>
      <c r="F62" s="18">
        <f t="shared" si="1"/>
        <v>274740</v>
      </c>
      <c r="G62" s="12" t="s">
        <v>9</v>
      </c>
      <c r="H62" s="12" t="s">
        <v>290</v>
      </c>
      <c r="I62" s="12">
        <v>10</v>
      </c>
      <c r="J62" s="12" t="s">
        <v>337</v>
      </c>
      <c r="K62" s="13"/>
      <c r="L62" s="12" t="s">
        <v>476</v>
      </c>
      <c r="M62" s="13"/>
    </row>
    <row r="63" spans="1:15" ht="45.75">
      <c r="A63" s="12" t="s">
        <v>335</v>
      </c>
      <c r="B63" s="12" t="s">
        <v>477</v>
      </c>
      <c r="C63" s="14">
        <v>0.10611111111111111</v>
      </c>
      <c r="D63" s="14">
        <v>0.10615740740740741</v>
      </c>
      <c r="E63" s="18">
        <f t="shared" si="0"/>
        <v>275040</v>
      </c>
      <c r="F63" s="18">
        <f t="shared" si="1"/>
        <v>275160</v>
      </c>
      <c r="G63" s="12" t="s">
        <v>9</v>
      </c>
      <c r="H63" s="12" t="s">
        <v>290</v>
      </c>
      <c r="I63" s="12">
        <v>1</v>
      </c>
      <c r="J63" s="12" t="s">
        <v>337</v>
      </c>
      <c r="K63" s="13"/>
      <c r="L63" s="12" t="s">
        <v>478</v>
      </c>
      <c r="M63" s="13"/>
      <c r="N63" s="11" t="s">
        <v>479</v>
      </c>
      <c r="O63" s="11" t="s">
        <v>480</v>
      </c>
    </row>
    <row r="64" spans="1:15" ht="43.5">
      <c r="A64" s="15" t="s">
        <v>335</v>
      </c>
      <c r="B64" s="15" t="s">
        <v>481</v>
      </c>
      <c r="C64" s="16">
        <v>0.10665509259259259</v>
      </c>
      <c r="D64" s="16">
        <v>0.10668981481481482</v>
      </c>
      <c r="E64" s="18">
        <f t="shared" si="0"/>
        <v>276450</v>
      </c>
      <c r="F64" s="18">
        <f t="shared" si="1"/>
        <v>276540</v>
      </c>
      <c r="G64" s="15" t="s">
        <v>9</v>
      </c>
      <c r="H64" s="15" t="s">
        <v>289</v>
      </c>
      <c r="I64" s="15">
        <v>0.5</v>
      </c>
      <c r="J64" s="15" t="s">
        <v>337</v>
      </c>
      <c r="K64" s="17"/>
      <c r="L64" s="15" t="s">
        <v>478</v>
      </c>
      <c r="M64" s="13" t="s">
        <v>482</v>
      </c>
    </row>
    <row r="65" spans="1:15">
      <c r="A65" s="12" t="s">
        <v>335</v>
      </c>
      <c r="B65" s="12" t="s">
        <v>481</v>
      </c>
      <c r="C65" s="14">
        <v>0.10678240740740741</v>
      </c>
      <c r="D65" s="14">
        <v>0.10681712962962962</v>
      </c>
      <c r="E65" s="18">
        <f t="shared" si="0"/>
        <v>276780</v>
      </c>
      <c r="F65" s="18">
        <f t="shared" si="1"/>
        <v>276870</v>
      </c>
      <c r="G65" s="12" t="s">
        <v>9</v>
      </c>
      <c r="H65" s="12" t="s">
        <v>289</v>
      </c>
      <c r="I65" s="12">
        <v>1</v>
      </c>
      <c r="J65" s="12" t="s">
        <v>337</v>
      </c>
      <c r="K65" s="13"/>
      <c r="L65" s="12" t="s">
        <v>478</v>
      </c>
      <c r="M65" s="13" t="s">
        <v>483</v>
      </c>
    </row>
    <row r="66" spans="1:15">
      <c r="A66" s="12" t="s">
        <v>335</v>
      </c>
      <c r="B66" s="12" t="s">
        <v>484</v>
      </c>
      <c r="C66" s="14">
        <v>0.1071412037037037</v>
      </c>
      <c r="D66" s="14">
        <v>0.10754629629629629</v>
      </c>
      <c r="E66" s="18">
        <f t="shared" si="0"/>
        <v>277710</v>
      </c>
      <c r="F66" s="18">
        <f t="shared" si="1"/>
        <v>278760</v>
      </c>
      <c r="G66" s="12" t="s">
        <v>9</v>
      </c>
      <c r="H66" s="12" t="s">
        <v>290</v>
      </c>
      <c r="I66" s="12">
        <v>8.5</v>
      </c>
      <c r="J66" s="12" t="s">
        <v>337</v>
      </c>
      <c r="K66" s="13"/>
      <c r="L66" s="12" t="s">
        <v>485</v>
      </c>
      <c r="M66" s="13" t="s">
        <v>486</v>
      </c>
    </row>
    <row r="67" spans="1:15">
      <c r="A67" s="12" t="s">
        <v>335</v>
      </c>
      <c r="B67" s="12" t="s">
        <v>487</v>
      </c>
      <c r="C67" s="14">
        <v>0.10967592592592593</v>
      </c>
      <c r="D67" s="14">
        <v>0.11004629629629629</v>
      </c>
      <c r="E67" s="18">
        <f t="shared" ref="E67:E98" si="2">ROUND(C67*86400*30, 0)</f>
        <v>284280</v>
      </c>
      <c r="F67" s="18">
        <f t="shared" ref="F67:F98" si="3">ROUND(D67*86400*30, 0)</f>
        <v>285240</v>
      </c>
      <c r="G67" s="12" t="s">
        <v>9</v>
      </c>
      <c r="H67" s="12" t="s">
        <v>290</v>
      </c>
      <c r="I67" s="12">
        <v>7</v>
      </c>
      <c r="J67" s="12" t="s">
        <v>337</v>
      </c>
      <c r="K67" s="13"/>
      <c r="L67" s="12" t="s">
        <v>488</v>
      </c>
      <c r="M67" s="13"/>
    </row>
    <row r="68" spans="1:15">
      <c r="A68" s="12" t="s">
        <v>335</v>
      </c>
      <c r="B68" s="12" t="s">
        <v>489</v>
      </c>
      <c r="C68" s="14">
        <v>0.11032407407407407</v>
      </c>
      <c r="D68" s="14">
        <v>0.11049768518518518</v>
      </c>
      <c r="E68" s="18">
        <f t="shared" si="2"/>
        <v>285960</v>
      </c>
      <c r="F68" s="18">
        <f t="shared" si="3"/>
        <v>286410</v>
      </c>
      <c r="G68" s="12" t="s">
        <v>9</v>
      </c>
      <c r="H68" s="12" t="s">
        <v>290</v>
      </c>
      <c r="I68" s="12">
        <v>3.5</v>
      </c>
      <c r="J68" s="12" t="s">
        <v>337</v>
      </c>
      <c r="K68" s="13"/>
      <c r="L68" s="12" t="s">
        <v>490</v>
      </c>
      <c r="M68" s="13"/>
    </row>
    <row r="69" spans="1:15">
      <c r="A69" s="12" t="s">
        <v>335</v>
      </c>
      <c r="B69" s="12" t="s">
        <v>491</v>
      </c>
      <c r="C69" s="14">
        <v>0.11087962962962963</v>
      </c>
      <c r="D69" s="14">
        <v>0.11092592592592593</v>
      </c>
      <c r="E69" s="18">
        <f t="shared" si="2"/>
        <v>287400</v>
      </c>
      <c r="F69" s="18">
        <f t="shared" si="3"/>
        <v>287520</v>
      </c>
      <c r="G69" s="12" t="s">
        <v>9</v>
      </c>
      <c r="H69" s="12" t="s">
        <v>289</v>
      </c>
      <c r="I69" s="12">
        <v>1</v>
      </c>
      <c r="J69" s="12" t="s">
        <v>337</v>
      </c>
      <c r="K69" s="13"/>
      <c r="L69" s="12" t="s">
        <v>492</v>
      </c>
      <c r="M69" s="13"/>
    </row>
    <row r="70" spans="1:15">
      <c r="A70" s="12" t="s">
        <v>335</v>
      </c>
      <c r="B70" s="12" t="s">
        <v>493</v>
      </c>
      <c r="C70" s="14">
        <v>0.11206018518518518</v>
      </c>
      <c r="D70" s="14">
        <v>0.11261574074074074</v>
      </c>
      <c r="E70" s="18">
        <f t="shared" si="2"/>
        <v>290460</v>
      </c>
      <c r="F70" s="18">
        <f t="shared" si="3"/>
        <v>291900</v>
      </c>
      <c r="G70" s="12" t="s">
        <v>9</v>
      </c>
      <c r="H70" s="12" t="s">
        <v>290</v>
      </c>
      <c r="I70" s="12">
        <v>14</v>
      </c>
      <c r="J70" s="12" t="s">
        <v>337</v>
      </c>
      <c r="K70" s="13"/>
      <c r="L70" s="12" t="s">
        <v>494</v>
      </c>
      <c r="M70" s="13"/>
    </row>
    <row r="71" spans="1:15">
      <c r="A71" s="12" t="s">
        <v>335</v>
      </c>
      <c r="B71" s="12" t="s">
        <v>495</v>
      </c>
      <c r="C71" s="14">
        <v>0.11473379629629629</v>
      </c>
      <c r="D71" s="14">
        <v>0.1149074074074074</v>
      </c>
      <c r="E71" s="18">
        <f t="shared" si="2"/>
        <v>297390</v>
      </c>
      <c r="F71" s="18">
        <f t="shared" si="3"/>
        <v>297840</v>
      </c>
      <c r="G71" s="12" t="s">
        <v>9</v>
      </c>
      <c r="H71" s="12" t="s">
        <v>290</v>
      </c>
      <c r="I71" s="12">
        <v>3</v>
      </c>
      <c r="J71" s="12" t="s">
        <v>337</v>
      </c>
      <c r="K71" s="13"/>
      <c r="L71" s="12" t="s">
        <v>496</v>
      </c>
      <c r="M71" s="13"/>
    </row>
    <row r="72" spans="1:15" ht="30.75">
      <c r="A72" s="12" t="s">
        <v>335</v>
      </c>
      <c r="B72" s="12" t="s">
        <v>497</v>
      </c>
      <c r="C72" s="14">
        <v>0.11512731481481482</v>
      </c>
      <c r="D72" s="14">
        <v>0.11516203703703703</v>
      </c>
      <c r="E72" s="18">
        <f t="shared" si="2"/>
        <v>298410</v>
      </c>
      <c r="F72" s="18">
        <f t="shared" si="3"/>
        <v>298500</v>
      </c>
      <c r="G72" s="12" t="s">
        <v>9</v>
      </c>
      <c r="H72" s="12" t="s">
        <v>289</v>
      </c>
      <c r="I72" s="12">
        <v>1</v>
      </c>
      <c r="J72" s="12" t="s">
        <v>337</v>
      </c>
      <c r="K72" s="13"/>
      <c r="L72" s="12" t="s">
        <v>498</v>
      </c>
      <c r="M72" s="13"/>
      <c r="N72" s="11" t="s">
        <v>499</v>
      </c>
      <c r="O72" s="11" t="s">
        <v>500</v>
      </c>
    </row>
    <row r="73" spans="1:15">
      <c r="A73" s="12" t="s">
        <v>335</v>
      </c>
      <c r="B73" s="12" t="s">
        <v>501</v>
      </c>
      <c r="C73" s="14">
        <v>0.11606481481481482</v>
      </c>
      <c r="D73" s="14">
        <v>0.1162962962962963</v>
      </c>
      <c r="E73" s="18">
        <f t="shared" si="2"/>
        <v>300840</v>
      </c>
      <c r="F73" s="18">
        <f t="shared" si="3"/>
        <v>301440</v>
      </c>
      <c r="G73" s="12" t="s">
        <v>9</v>
      </c>
      <c r="H73" s="12" t="s">
        <v>289</v>
      </c>
      <c r="I73" s="12">
        <v>4.5</v>
      </c>
      <c r="J73" s="12" t="s">
        <v>337</v>
      </c>
      <c r="K73" s="13"/>
      <c r="L73" s="12" t="s">
        <v>502</v>
      </c>
      <c r="M73" s="13" t="s">
        <v>503</v>
      </c>
    </row>
    <row r="74" spans="1:15" ht="30.75">
      <c r="A74" s="12" t="s">
        <v>335</v>
      </c>
      <c r="B74" s="12" t="s">
        <v>504</v>
      </c>
      <c r="C74" s="14">
        <v>0.11674768518518519</v>
      </c>
      <c r="D74" s="14">
        <v>0.11706018518518518</v>
      </c>
      <c r="E74" s="18">
        <f t="shared" si="2"/>
        <v>302610</v>
      </c>
      <c r="F74" s="18">
        <f t="shared" si="3"/>
        <v>303420</v>
      </c>
      <c r="G74" s="12" t="s">
        <v>9</v>
      </c>
      <c r="H74" s="12" t="s">
        <v>290</v>
      </c>
      <c r="I74" s="12">
        <v>7</v>
      </c>
      <c r="J74" s="12" t="s">
        <v>337</v>
      </c>
      <c r="K74" s="13"/>
      <c r="L74" s="12" t="s">
        <v>505</v>
      </c>
      <c r="M74" s="13"/>
      <c r="N74" s="11" t="s">
        <v>506</v>
      </c>
      <c r="O74" s="11" t="s">
        <v>507</v>
      </c>
    </row>
    <row r="75" spans="1:15">
      <c r="A75" s="12" t="s">
        <v>335</v>
      </c>
      <c r="B75" s="12" t="s">
        <v>508</v>
      </c>
      <c r="C75" s="14">
        <v>0.12025462962962963</v>
      </c>
      <c r="D75" s="14">
        <v>0.12030092592592592</v>
      </c>
      <c r="E75" s="18">
        <f t="shared" si="2"/>
        <v>311700</v>
      </c>
      <c r="F75" s="18">
        <f t="shared" si="3"/>
        <v>311820</v>
      </c>
      <c r="G75" s="12" t="s">
        <v>9</v>
      </c>
      <c r="H75" s="12" t="s">
        <v>290</v>
      </c>
      <c r="I75" s="12">
        <v>1</v>
      </c>
      <c r="J75" s="12" t="s">
        <v>337</v>
      </c>
      <c r="K75" s="13"/>
      <c r="L75" s="12" t="s">
        <v>509</v>
      </c>
      <c r="M75" s="13"/>
    </row>
    <row r="76" spans="1:15">
      <c r="A76" s="12" t="s">
        <v>335</v>
      </c>
      <c r="B76" s="12" t="s">
        <v>508</v>
      </c>
      <c r="C76" s="14">
        <v>0.12053240740740741</v>
      </c>
      <c r="D76" s="14">
        <v>0.12061342592592593</v>
      </c>
      <c r="E76" s="18">
        <f t="shared" si="2"/>
        <v>312420</v>
      </c>
      <c r="F76" s="18">
        <f t="shared" si="3"/>
        <v>312630</v>
      </c>
      <c r="G76" s="12" t="s">
        <v>9</v>
      </c>
      <c r="H76" s="12" t="s">
        <v>289</v>
      </c>
      <c r="I76" s="12">
        <v>2</v>
      </c>
      <c r="J76" s="12" t="s">
        <v>337</v>
      </c>
      <c r="K76" s="13"/>
      <c r="L76" s="12" t="s">
        <v>509</v>
      </c>
      <c r="M76" s="13"/>
    </row>
    <row r="77" spans="1:15" ht="33" customHeight="1">
      <c r="A77" s="12" t="s">
        <v>335</v>
      </c>
      <c r="B77" s="12" t="s">
        <v>510</v>
      </c>
      <c r="C77" s="14">
        <v>0.1207175925925926</v>
      </c>
      <c r="D77" s="14">
        <v>0.12085648148148148</v>
      </c>
      <c r="E77" s="18">
        <f t="shared" si="2"/>
        <v>312900</v>
      </c>
      <c r="F77" s="18">
        <f t="shared" si="3"/>
        <v>313260</v>
      </c>
      <c r="G77" s="12" t="s">
        <v>9</v>
      </c>
      <c r="H77" s="12" t="s">
        <v>290</v>
      </c>
      <c r="I77" s="12">
        <v>3</v>
      </c>
      <c r="J77" s="12" t="s">
        <v>337</v>
      </c>
      <c r="K77" s="13" t="s">
        <v>511</v>
      </c>
      <c r="L77" s="12" t="s">
        <v>512</v>
      </c>
      <c r="M77" s="13"/>
    </row>
    <row r="78" spans="1:15">
      <c r="A78" s="12" t="s">
        <v>335</v>
      </c>
      <c r="B78" s="12" t="s">
        <v>513</v>
      </c>
      <c r="C78" s="14">
        <v>0.12131944444444444</v>
      </c>
      <c r="D78" s="14">
        <v>0.12144675925925925</v>
      </c>
      <c r="E78" s="18">
        <f t="shared" si="2"/>
        <v>314460</v>
      </c>
      <c r="F78" s="18">
        <f t="shared" si="3"/>
        <v>314790</v>
      </c>
      <c r="G78" s="12" t="s">
        <v>9</v>
      </c>
      <c r="H78" s="12" t="s">
        <v>290</v>
      </c>
      <c r="I78" s="12">
        <v>2.5</v>
      </c>
      <c r="J78" s="12" t="s">
        <v>337</v>
      </c>
      <c r="K78" s="13" t="s">
        <v>514</v>
      </c>
      <c r="L78" s="12" t="s">
        <v>515</v>
      </c>
      <c r="M78" s="13"/>
    </row>
    <row r="79" spans="1:15">
      <c r="A79" s="12" t="s">
        <v>335</v>
      </c>
      <c r="B79" s="12" t="s">
        <v>516</v>
      </c>
      <c r="C79" s="14">
        <v>0.12172453703703703</v>
      </c>
      <c r="D79" s="14">
        <v>0.12192129629629629</v>
      </c>
      <c r="E79" s="18">
        <f t="shared" si="2"/>
        <v>315510</v>
      </c>
      <c r="F79" s="18">
        <f t="shared" si="3"/>
        <v>316020</v>
      </c>
      <c r="G79" s="12" t="s">
        <v>9</v>
      </c>
      <c r="H79" s="12" t="s">
        <v>289</v>
      </c>
      <c r="I79" s="12">
        <v>4</v>
      </c>
      <c r="J79" s="12" t="s">
        <v>337</v>
      </c>
      <c r="K79" s="13"/>
      <c r="L79" s="12" t="s">
        <v>517</v>
      </c>
      <c r="M79" s="13"/>
    </row>
    <row r="80" spans="1:15">
      <c r="A80" s="12" t="s">
        <v>335</v>
      </c>
      <c r="B80" s="12" t="s">
        <v>518</v>
      </c>
      <c r="C80" s="14">
        <v>0.12229166666666667</v>
      </c>
      <c r="D80" s="14">
        <v>0.12233796296296297</v>
      </c>
      <c r="E80" s="18">
        <f t="shared" si="2"/>
        <v>316980</v>
      </c>
      <c r="F80" s="18">
        <f t="shared" si="3"/>
        <v>317100</v>
      </c>
      <c r="G80" s="12" t="s">
        <v>9</v>
      </c>
      <c r="H80" s="12" t="s">
        <v>290</v>
      </c>
      <c r="I80" s="12">
        <v>1</v>
      </c>
      <c r="J80" s="12" t="s">
        <v>337</v>
      </c>
      <c r="K80" s="13"/>
      <c r="L80" s="12" t="s">
        <v>519</v>
      </c>
      <c r="M80" s="13" t="s">
        <v>483</v>
      </c>
    </row>
    <row r="81" spans="1:15">
      <c r="A81" s="12" t="s">
        <v>335</v>
      </c>
      <c r="B81" s="12" t="s">
        <v>520</v>
      </c>
      <c r="C81" s="14">
        <v>0.12240740740740741</v>
      </c>
      <c r="D81" s="14">
        <v>0.12246527777777778</v>
      </c>
      <c r="E81" s="18">
        <f t="shared" si="2"/>
        <v>317280</v>
      </c>
      <c r="F81" s="18">
        <f t="shared" si="3"/>
        <v>317430</v>
      </c>
      <c r="G81" s="12" t="s">
        <v>9</v>
      </c>
      <c r="H81" s="12" t="s">
        <v>290</v>
      </c>
      <c r="I81" s="12">
        <v>1</v>
      </c>
      <c r="J81" s="12" t="s">
        <v>337</v>
      </c>
      <c r="K81" s="13"/>
      <c r="L81" s="12" t="s">
        <v>521</v>
      </c>
      <c r="M81" s="13"/>
    </row>
    <row r="82" spans="1:15">
      <c r="A82" s="12" t="s">
        <v>335</v>
      </c>
      <c r="B82" s="12" t="s">
        <v>522</v>
      </c>
      <c r="C82" s="14">
        <v>0.12266203703703704</v>
      </c>
      <c r="D82" s="14">
        <v>0.12290509259259259</v>
      </c>
      <c r="E82" s="18">
        <f t="shared" si="2"/>
        <v>317940</v>
      </c>
      <c r="F82" s="18">
        <f t="shared" si="3"/>
        <v>318570</v>
      </c>
      <c r="G82" s="12" t="s">
        <v>9</v>
      </c>
      <c r="H82" s="12" t="s">
        <v>289</v>
      </c>
      <c r="I82" s="12">
        <v>5</v>
      </c>
      <c r="J82" s="12" t="s">
        <v>337</v>
      </c>
      <c r="K82" s="13"/>
      <c r="L82" s="12" t="s">
        <v>523</v>
      </c>
      <c r="M82" s="13"/>
    </row>
    <row r="83" spans="1:15">
      <c r="A83" s="12" t="s">
        <v>335</v>
      </c>
      <c r="B83" s="12" t="s">
        <v>524</v>
      </c>
      <c r="C83" s="14">
        <v>0.12320601851851852</v>
      </c>
      <c r="D83" s="14">
        <v>0.1237037037037037</v>
      </c>
      <c r="E83" s="18">
        <f t="shared" si="2"/>
        <v>319350</v>
      </c>
      <c r="F83" s="18">
        <f t="shared" si="3"/>
        <v>320640</v>
      </c>
      <c r="G83" s="12" t="s">
        <v>9</v>
      </c>
      <c r="H83" s="12" t="s">
        <v>290</v>
      </c>
      <c r="I83" s="12">
        <v>9.5</v>
      </c>
      <c r="J83" s="12" t="s">
        <v>337</v>
      </c>
      <c r="K83" s="13"/>
      <c r="L83" s="12" t="s">
        <v>525</v>
      </c>
      <c r="M83" s="13" t="s">
        <v>526</v>
      </c>
    </row>
    <row r="84" spans="1:15">
      <c r="A84" s="12" t="s">
        <v>335</v>
      </c>
      <c r="B84" s="12" t="s">
        <v>527</v>
      </c>
      <c r="C84" s="14">
        <v>0.12465277777777778</v>
      </c>
      <c r="D84" s="14">
        <v>0.12471064814814815</v>
      </c>
      <c r="E84" s="18">
        <f t="shared" si="2"/>
        <v>323100</v>
      </c>
      <c r="F84" s="18">
        <f t="shared" si="3"/>
        <v>323250</v>
      </c>
      <c r="G84" s="12" t="s">
        <v>9</v>
      </c>
      <c r="H84" s="12" t="s">
        <v>290</v>
      </c>
      <c r="I84" s="12">
        <v>1</v>
      </c>
      <c r="J84" s="12" t="s">
        <v>337</v>
      </c>
      <c r="K84" s="13"/>
      <c r="L84" s="12" t="s">
        <v>528</v>
      </c>
      <c r="M84" s="13"/>
    </row>
    <row r="85" spans="1:15">
      <c r="A85" s="12" t="s">
        <v>335</v>
      </c>
      <c r="B85" s="12" t="s">
        <v>529</v>
      </c>
      <c r="C85" s="14">
        <v>0.12503472222222223</v>
      </c>
      <c r="D85" s="14">
        <v>0.1255324074074074</v>
      </c>
      <c r="E85" s="18">
        <f t="shared" si="2"/>
        <v>324090</v>
      </c>
      <c r="F85" s="18">
        <f t="shared" si="3"/>
        <v>325380</v>
      </c>
      <c r="G85" s="12" t="s">
        <v>9</v>
      </c>
      <c r="H85" s="12" t="s">
        <v>290</v>
      </c>
      <c r="I85" s="12">
        <v>10.5</v>
      </c>
      <c r="J85" s="12" t="s">
        <v>337</v>
      </c>
      <c r="K85" s="13"/>
      <c r="L85" s="12" t="s">
        <v>530</v>
      </c>
      <c r="M85" s="13" t="s">
        <v>531</v>
      </c>
    </row>
    <row r="86" spans="1:15">
      <c r="A86" s="15" t="s">
        <v>335</v>
      </c>
      <c r="B86" s="15" t="s">
        <v>532</v>
      </c>
      <c r="C86" s="16">
        <v>0.12730324074074073</v>
      </c>
      <c r="D86" s="16">
        <v>0.12733796296296296</v>
      </c>
      <c r="E86" s="18">
        <f t="shared" si="2"/>
        <v>329970</v>
      </c>
      <c r="F86" s="18">
        <f t="shared" si="3"/>
        <v>330060</v>
      </c>
      <c r="G86" s="15" t="s">
        <v>9</v>
      </c>
      <c r="H86" s="15"/>
      <c r="I86" s="15"/>
      <c r="J86" s="15"/>
      <c r="K86" s="17"/>
      <c r="L86" s="15" t="s">
        <v>533</v>
      </c>
      <c r="M86" s="13" t="s">
        <v>534</v>
      </c>
    </row>
    <row r="87" spans="1:15">
      <c r="A87" s="12" t="s">
        <v>335</v>
      </c>
      <c r="B87" s="12" t="s">
        <v>535</v>
      </c>
      <c r="C87" s="14">
        <v>0.12747685185185184</v>
      </c>
      <c r="D87" s="14">
        <v>0.12752314814814814</v>
      </c>
      <c r="E87" s="18">
        <f t="shared" ref="E87" si="4">ROUND(C87*86400*30, 0)</f>
        <v>330420</v>
      </c>
      <c r="F87" s="18">
        <f t="shared" ref="F87" si="5">ROUND(D87*86400*30, 0)</f>
        <v>330540</v>
      </c>
      <c r="G87" s="12" t="s">
        <v>9</v>
      </c>
      <c r="H87" s="12" t="s">
        <v>289</v>
      </c>
      <c r="I87" s="12">
        <v>1</v>
      </c>
      <c r="J87" s="12" t="s">
        <v>337</v>
      </c>
      <c r="K87" s="13"/>
      <c r="L87" s="12" t="s">
        <v>536</v>
      </c>
      <c r="M87" s="13" t="s">
        <v>537</v>
      </c>
    </row>
    <row r="88" spans="1:15">
      <c r="A88" s="12" t="s">
        <v>335</v>
      </c>
      <c r="B88" s="12" t="s">
        <v>538</v>
      </c>
      <c r="C88" s="14">
        <v>0.12996527777777778</v>
      </c>
      <c r="D88" s="14">
        <v>0.13033564814814816</v>
      </c>
      <c r="E88" s="18">
        <f t="shared" si="2"/>
        <v>336870</v>
      </c>
      <c r="F88" s="18">
        <f t="shared" si="3"/>
        <v>337830</v>
      </c>
      <c r="G88" s="12" t="s">
        <v>9</v>
      </c>
      <c r="H88" s="12" t="s">
        <v>290</v>
      </c>
      <c r="I88" s="12">
        <v>7</v>
      </c>
      <c r="J88" s="12" t="s">
        <v>337</v>
      </c>
      <c r="K88" s="13"/>
      <c r="L88" s="12" t="s">
        <v>539</v>
      </c>
      <c r="M88" s="13"/>
    </row>
    <row r="89" spans="1:15" ht="29.25">
      <c r="A89" s="15" t="s">
        <v>335</v>
      </c>
      <c r="B89" s="15" t="s">
        <v>540</v>
      </c>
      <c r="C89" s="16">
        <v>0.13434027777777777</v>
      </c>
      <c r="D89" s="16">
        <v>0.13449074074074074</v>
      </c>
      <c r="E89" s="18">
        <f t="shared" si="2"/>
        <v>348210</v>
      </c>
      <c r="F89" s="18">
        <f t="shared" si="3"/>
        <v>348600</v>
      </c>
      <c r="G89" s="15" t="s">
        <v>9</v>
      </c>
      <c r="H89" s="15"/>
      <c r="I89" s="15"/>
      <c r="J89" s="15"/>
      <c r="K89" s="17"/>
      <c r="L89" s="15" t="s">
        <v>541</v>
      </c>
      <c r="M89" s="13" t="s">
        <v>542</v>
      </c>
    </row>
    <row r="90" spans="1:15">
      <c r="A90" s="15" t="s">
        <v>335</v>
      </c>
      <c r="B90" s="15" t="s">
        <v>543</v>
      </c>
      <c r="C90" s="16">
        <v>0.13621527777777778</v>
      </c>
      <c r="D90" s="16">
        <v>0.13625000000000001</v>
      </c>
      <c r="E90" s="18">
        <f t="shared" si="2"/>
        <v>353070</v>
      </c>
      <c r="F90" s="18">
        <f t="shared" si="3"/>
        <v>353160</v>
      </c>
      <c r="G90" s="15" t="s">
        <v>9</v>
      </c>
      <c r="H90" s="15"/>
      <c r="I90" s="15"/>
      <c r="J90" s="15"/>
      <c r="K90" s="17"/>
      <c r="L90" s="15" t="s">
        <v>544</v>
      </c>
      <c r="M90" s="13" t="s">
        <v>545</v>
      </c>
    </row>
    <row r="91" spans="1:15" ht="29.25">
      <c r="A91" s="15" t="s">
        <v>335</v>
      </c>
      <c r="B91" s="15" t="s">
        <v>546</v>
      </c>
      <c r="C91" s="16">
        <v>0.13983796296296297</v>
      </c>
      <c r="D91" s="16">
        <v>0.13989583333333333</v>
      </c>
      <c r="E91" s="18">
        <f t="shared" si="2"/>
        <v>362460</v>
      </c>
      <c r="F91" s="18">
        <f t="shared" si="3"/>
        <v>362610</v>
      </c>
      <c r="G91" s="15" t="s">
        <v>9</v>
      </c>
      <c r="H91" s="15"/>
      <c r="I91" s="15"/>
      <c r="J91" s="15"/>
      <c r="K91" s="17"/>
      <c r="L91" s="15" t="s">
        <v>547</v>
      </c>
      <c r="M91" s="13" t="s">
        <v>548</v>
      </c>
    </row>
    <row r="92" spans="1:15" ht="29.25">
      <c r="A92" s="15" t="s">
        <v>335</v>
      </c>
      <c r="B92" s="15" t="s">
        <v>549</v>
      </c>
      <c r="C92" s="16">
        <v>0.16604166666666667</v>
      </c>
      <c r="D92" s="16">
        <v>0.1660763888888889</v>
      </c>
      <c r="E92" s="18">
        <f t="shared" si="2"/>
        <v>430380</v>
      </c>
      <c r="F92" s="18">
        <f t="shared" si="3"/>
        <v>430470</v>
      </c>
      <c r="G92" s="15" t="s">
        <v>9</v>
      </c>
      <c r="H92" s="15"/>
      <c r="I92" s="15" t="s">
        <v>550</v>
      </c>
      <c r="J92" s="15"/>
      <c r="K92" s="17"/>
      <c r="L92" s="15" t="s">
        <v>551</v>
      </c>
      <c r="M92" s="13" t="s">
        <v>552</v>
      </c>
    </row>
    <row r="93" spans="1:15">
      <c r="A93" s="15" t="s">
        <v>335</v>
      </c>
      <c r="B93" s="15" t="s">
        <v>553</v>
      </c>
      <c r="C93" s="16">
        <v>0.16625000000000001</v>
      </c>
      <c r="D93" s="16">
        <v>0.16628472222222221</v>
      </c>
      <c r="E93" s="18">
        <f t="shared" si="2"/>
        <v>430920</v>
      </c>
      <c r="F93" s="18">
        <f t="shared" si="3"/>
        <v>431010</v>
      </c>
      <c r="G93" s="15" t="s">
        <v>9</v>
      </c>
      <c r="H93" s="15"/>
      <c r="I93" s="15"/>
      <c r="J93" s="15"/>
      <c r="K93" s="17"/>
      <c r="L93" s="15" t="s">
        <v>554</v>
      </c>
      <c r="M93" s="13" t="s">
        <v>555</v>
      </c>
    </row>
    <row r="94" spans="1:15" ht="114.75" customHeight="1">
      <c r="A94" s="15" t="s">
        <v>335</v>
      </c>
      <c r="B94" s="15" t="s">
        <v>556</v>
      </c>
      <c r="C94" s="16">
        <v>0.33258101851851851</v>
      </c>
      <c r="D94" s="16">
        <v>0.33261574074074074</v>
      </c>
      <c r="E94" s="18">
        <f t="shared" si="2"/>
        <v>862050</v>
      </c>
      <c r="F94" s="18">
        <f t="shared" si="3"/>
        <v>862140</v>
      </c>
      <c r="G94" s="15" t="s">
        <v>9</v>
      </c>
      <c r="H94" s="15"/>
      <c r="I94" s="15"/>
      <c r="J94" s="15"/>
      <c r="K94" s="17"/>
      <c r="L94" s="15" t="s">
        <v>557</v>
      </c>
      <c r="M94" s="13"/>
      <c r="N94" s="11" t="s">
        <v>558</v>
      </c>
      <c r="O94" s="43" t="s">
        <v>559</v>
      </c>
    </row>
    <row r="95" spans="1:15" ht="30.75">
      <c r="A95" s="15" t="s">
        <v>335</v>
      </c>
      <c r="B95" s="15" t="s">
        <v>560</v>
      </c>
      <c r="C95" s="16">
        <v>0.33270833333333333</v>
      </c>
      <c r="D95" s="16">
        <v>0.33273148148148146</v>
      </c>
      <c r="E95" s="18">
        <f t="shared" si="2"/>
        <v>862380</v>
      </c>
      <c r="F95" s="18">
        <f t="shared" si="3"/>
        <v>862440</v>
      </c>
      <c r="G95" s="15" t="s">
        <v>9</v>
      </c>
      <c r="H95" s="15"/>
      <c r="I95" s="15"/>
      <c r="J95" s="15"/>
      <c r="K95" s="17"/>
      <c r="L95" s="15" t="s">
        <v>561</v>
      </c>
      <c r="M95" s="13"/>
      <c r="N95" s="11" t="s">
        <v>558</v>
      </c>
      <c r="O95" s="43"/>
    </row>
    <row r="96" spans="1:15" ht="30.75">
      <c r="A96" s="15" t="s">
        <v>335</v>
      </c>
      <c r="B96" s="15" t="s">
        <v>562</v>
      </c>
      <c r="C96" s="16">
        <v>0.33731481481481479</v>
      </c>
      <c r="D96" s="16">
        <v>0.33733796296296298</v>
      </c>
      <c r="E96" s="18">
        <f t="shared" si="2"/>
        <v>874320</v>
      </c>
      <c r="F96" s="18">
        <f t="shared" si="3"/>
        <v>874380</v>
      </c>
      <c r="G96" s="15" t="s">
        <v>9</v>
      </c>
      <c r="H96" s="15"/>
      <c r="I96" s="15"/>
      <c r="J96" s="15"/>
      <c r="K96" s="17"/>
      <c r="L96" s="15" t="s">
        <v>563</v>
      </c>
      <c r="M96" s="13"/>
      <c r="N96" s="11" t="s">
        <v>558</v>
      </c>
      <c r="O96" s="43"/>
    </row>
    <row r="97" spans="1:15" ht="30.75">
      <c r="A97" s="15" t="s">
        <v>335</v>
      </c>
      <c r="B97" s="15" t="s">
        <v>564</v>
      </c>
      <c r="C97" s="16">
        <v>0.34006944444444442</v>
      </c>
      <c r="D97" s="16">
        <v>0.34010416666666665</v>
      </c>
      <c r="E97" s="18">
        <f t="shared" si="2"/>
        <v>881460</v>
      </c>
      <c r="F97" s="18">
        <f t="shared" si="3"/>
        <v>881550</v>
      </c>
      <c r="G97" s="15" t="s">
        <v>9</v>
      </c>
      <c r="H97" s="15"/>
      <c r="I97" s="15"/>
      <c r="J97" s="15"/>
      <c r="K97" s="17"/>
      <c r="L97" s="15" t="s">
        <v>565</v>
      </c>
      <c r="M97" s="13"/>
      <c r="N97" s="11" t="s">
        <v>558</v>
      </c>
      <c r="O97" s="43"/>
    </row>
    <row r="98" spans="1:15" ht="29.25">
      <c r="A98" s="15" t="s">
        <v>335</v>
      </c>
      <c r="B98" s="15" t="s">
        <v>566</v>
      </c>
      <c r="C98" s="16">
        <v>0.3995023148148148</v>
      </c>
      <c r="D98" s="16">
        <v>0.39954861111111112</v>
      </c>
      <c r="E98" s="18">
        <f t="shared" si="2"/>
        <v>1035510</v>
      </c>
      <c r="F98" s="18">
        <f t="shared" si="3"/>
        <v>1035630</v>
      </c>
      <c r="G98" s="15" t="s">
        <v>9</v>
      </c>
      <c r="H98" s="15"/>
      <c r="I98" s="15"/>
      <c r="J98" s="15"/>
      <c r="K98" s="17"/>
      <c r="L98" s="15" t="s">
        <v>567</v>
      </c>
      <c r="M98" s="13" t="s">
        <v>568</v>
      </c>
    </row>
  </sheetData>
  <mergeCells count="2">
    <mergeCell ref="O94:O97"/>
    <mergeCell ref="M26:M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2026-09-29T20:35:02Z</dcterms:created>
  <dcterms:modified xsi:type="dcterms:W3CDTF">2026-10-19T23:28:55Z</dcterms:modified>
  <cp:category/>
  <cp:contentStatus/>
</cp:coreProperties>
</file>