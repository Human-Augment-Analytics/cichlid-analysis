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Candidates" sheetId="2" state="visible" r:id="rId4"/>
    <sheet name="Labeled events" sheetId="3" state="visible" r:id="rId5"/>
    <sheet name="Settings" sheetId="4" state="visible" r:id="rId6"/>
    <sheet name="About" sheetId="5" state="visible" r:id="rId7"/>
  </sheets>
  <definedNames>
    <definedName function="false" hidden="true" localSheetId="1" name="_xlnm._FilterDatabase" vbProcedure="false">Candidates!$A$1:$O$147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1" authorId="0">
      <text>
        <r>
          <rPr>
            <sz val="10"/>
            <rFont val="Arial"/>
            <family val="2"/>
          </rPr>
          <t xml:space="preserve">Net number of times the pair rotated around each other during the episode (|sum of orbital rotation| / 2π).</t>
        </r>
      </text>
    </comment>
    <comment ref="J1" authorId="0">
      <text>
        <r>
          <rPr>
            <sz val="10"/>
            <rFont val="Arial"/>
            <family val="2"/>
          </rPr>
          <t xml:space="preserve">Median centroid distance between the two fish over the episode, in pixels (~160 px = one body length).</t>
        </r>
      </text>
    </comment>
    <comment ref="K1" authorId="0">
      <text>
        <r>
          <rPr>
            <sz val="10"/>
            <rFont val="Arial"/>
            <family val="2"/>
          </rPr>
          <t xml:space="preserve">Review aid only, from thresholds on the Settings sheet. Not a probability.</t>
        </r>
      </text>
    </comment>
    <comment ref="L1" authorId="0">
      <text>
        <r>
          <rPr>
            <sz val="10"/>
            <rFont val="Arial"/>
            <family val="2"/>
          </rPr>
          <t xml:space="preserve">Whether the episode overlaps one of the 15 human-labeled circling windows (event number from the Labeled events sheet). 'No' means unlabeled stretch, not confirmed non-circling.</t>
        </r>
      </text>
    </comment>
    <comment ref="M1" authorId="0">
      <text>
        <r>
          <rPr>
            <sz val="10"/>
            <rFont val="Arial"/>
            <family val="2"/>
          </rPr>
          <t xml:space="preserve">Fill in after watching the clip: Y, N or unsure.</t>
        </r>
      </text>
    </comment>
  </commentList>
</comments>
</file>

<file path=xl/sharedStrings.xml><?xml version="1.0" encoding="utf-8"?>
<sst xmlns="http://schemas.openxmlformats.org/spreadsheetml/2006/main" count="579" uniqueCount="257">
  <si>
    <t xml:space="preserve">Circling candidates from the rule-based detector (v2)</t>
  </si>
  <si>
    <t xml:space="preserve">All numbers are formulas over the Candidates and Labeled events sheets; the review rows update as the yellow columns are filled in.</t>
  </si>
  <si>
    <t xml:space="preserve">Metric</t>
  </si>
  <si>
    <t xml:space="preserve">0031</t>
  </si>
  <si>
    <t xml:space="preserve">0028</t>
  </si>
  <si>
    <t xml:space="preserve">Both videos</t>
  </si>
  <si>
    <t xml:space="preserve">Candidate episodes</t>
  </si>
  <si>
    <t xml:space="preserve">Total circling time (min)</t>
  </si>
  <si>
    <t xml:space="preserve">Median episode duration (s)</t>
  </si>
  <si>
    <t xml:space="preserve">Episodes overlapping a human label</t>
  </si>
  <si>
    <t xml:space="preserve">Human-labeled events</t>
  </si>
  <si>
    <t xml:space="preserve">Labeled events caught</t>
  </si>
  <si>
    <t xml:space="preserve">High confidence</t>
  </si>
  <si>
    <t xml:space="preserve">Medium confidence</t>
  </si>
  <si>
    <t xml:space="preserve">Low confidence</t>
  </si>
  <si>
    <t xml:space="preserve">Reviewed so far</t>
  </si>
  <si>
    <t xml:space="preserve">Confirmed circling (Y)</t>
  </si>
  <si>
    <t xml:space="preserve">Not circling (N)</t>
  </si>
  <si>
    <t xml:space="preserve">Precision so far = Y / (Y + N)</t>
  </si>
  <si>
    <t xml:space="preserve">Episodes that do not overlap a label are not false alarms by default: the humans labeled only a few short stretches, so most of each 10-hour video is unlabeled. The review columns are how we find out.</t>
  </si>
  <si>
    <t xml:space="preserve">Video</t>
  </si>
  <si>
    <t xml:space="preserve">Episode ID</t>
  </si>
  <si>
    <t xml:space="preserve">Start frame</t>
  </si>
  <si>
    <t xml:space="preserve">End frame</t>
  </si>
  <si>
    <t xml:space="preserve">Start time (h:mm:ss)</t>
  </si>
  <si>
    <t xml:space="preserve">End time (h:mm:ss)</t>
  </si>
  <si>
    <t xml:space="preserve">Duration (s)</t>
  </si>
  <si>
    <t xml:space="preserve">Net turns</t>
  </si>
  <si>
    <t xml:space="preserve">Turns per second</t>
  </si>
  <si>
    <t xml:space="preserve">Median distance (px)</t>
  </si>
  <si>
    <t xml:space="preserve">Rule confidence</t>
  </si>
  <si>
    <t xml:space="preserve">Overlaps human label</t>
  </si>
  <si>
    <t xml:space="preserve">Circling? (Y / N / unsure)</t>
  </si>
  <si>
    <t xml:space="preserve">Reviewer</t>
  </si>
  <si>
    <t xml:space="preserve">Notes</t>
  </si>
  <si>
    <t xml:space="preserve">0031-R001</t>
  </si>
  <si>
    <t xml:space="preserve">No</t>
  </si>
  <si>
    <t xml:space="preserve">0031-R002</t>
  </si>
  <si>
    <t xml:space="preserve">0031-R003</t>
  </si>
  <si>
    <t xml:space="preserve">0031-R004</t>
  </si>
  <si>
    <t xml:space="preserve">0031-R005</t>
  </si>
  <si>
    <t xml:space="preserve">0031-R006</t>
  </si>
  <si>
    <t xml:space="preserve">0031-R007</t>
  </si>
  <si>
    <t xml:space="preserve">0031-R008</t>
  </si>
  <si>
    <t xml:space="preserve">0031-R009</t>
  </si>
  <si>
    <t xml:space="preserve">0031-R010</t>
  </si>
  <si>
    <t xml:space="preserve">0031-R011</t>
  </si>
  <si>
    <t xml:space="preserve">0031-R012</t>
  </si>
  <si>
    <t xml:space="preserve">0031-R013</t>
  </si>
  <si>
    <t xml:space="preserve">0031-R014</t>
  </si>
  <si>
    <t xml:space="preserve">0031-R015</t>
  </si>
  <si>
    <t xml:space="preserve">0031-R016</t>
  </si>
  <si>
    <t xml:space="preserve">0031-R017</t>
  </si>
  <si>
    <t xml:space="preserve">0031-R018</t>
  </si>
  <si>
    <t xml:space="preserve">0031-R019</t>
  </si>
  <si>
    <t xml:space="preserve">0031-R020</t>
  </si>
  <si>
    <t xml:space="preserve">0031-R021</t>
  </si>
  <si>
    <t xml:space="preserve">0031-R022</t>
  </si>
  <si>
    <t xml:space="preserve">0031-R023</t>
  </si>
  <si>
    <t xml:space="preserve">0031-R024</t>
  </si>
  <si>
    <t xml:space="preserve">0031-R025</t>
  </si>
  <si>
    <t xml:space="preserve">0031-R026</t>
  </si>
  <si>
    <t xml:space="preserve">0031-R027</t>
  </si>
  <si>
    <t xml:space="preserve">0031-R028</t>
  </si>
  <si>
    <t xml:space="preserve">Yes (event 1)</t>
  </si>
  <si>
    <t xml:space="preserve">0031-R029</t>
  </si>
  <si>
    <t xml:space="preserve">Yes (event 2)</t>
  </si>
  <si>
    <t xml:space="preserve">0031-R030</t>
  </si>
  <si>
    <t xml:space="preserve">Yes (event 3)</t>
  </si>
  <si>
    <t xml:space="preserve">0031-R031</t>
  </si>
  <si>
    <t xml:space="preserve">Yes (event 4)</t>
  </si>
  <si>
    <t xml:space="preserve">0031-R032</t>
  </si>
  <si>
    <t xml:space="preserve">Yes (event 5)</t>
  </si>
  <si>
    <t xml:space="preserve">0031-R033</t>
  </si>
  <si>
    <t xml:space="preserve">Yes (event 6)</t>
  </si>
  <si>
    <t xml:space="preserve">0031-R034</t>
  </si>
  <si>
    <t xml:space="preserve">Yes (event 7)</t>
  </si>
  <si>
    <t xml:space="preserve">0031-R035</t>
  </si>
  <si>
    <t xml:space="preserve">Yes (event 8)</t>
  </si>
  <si>
    <t xml:space="preserve">0031-R036</t>
  </si>
  <si>
    <t xml:space="preserve">0031-R037</t>
  </si>
  <si>
    <t xml:space="preserve">0031-R038</t>
  </si>
  <si>
    <t xml:space="preserve">0031-R039</t>
  </si>
  <si>
    <t xml:space="preserve">0031-R040</t>
  </si>
  <si>
    <t xml:space="preserve">0031-R041</t>
  </si>
  <si>
    <t xml:space="preserve">0031-R042</t>
  </si>
  <si>
    <t xml:space="preserve">0031-R043</t>
  </si>
  <si>
    <t xml:space="preserve">0031-R044</t>
  </si>
  <si>
    <t xml:space="preserve">0031-R045</t>
  </si>
  <si>
    <t xml:space="preserve">0031-R046</t>
  </si>
  <si>
    <t xml:space="preserve">0031-R047</t>
  </si>
  <si>
    <t xml:space="preserve">0031-R048</t>
  </si>
  <si>
    <t xml:space="preserve">0031-R049</t>
  </si>
  <si>
    <t xml:space="preserve">0031-R050</t>
  </si>
  <si>
    <t xml:space="preserve">0031-R051</t>
  </si>
  <si>
    <t xml:space="preserve">0031-R052</t>
  </si>
  <si>
    <t xml:space="preserve">0031-R053</t>
  </si>
  <si>
    <t xml:space="preserve">0031-R054</t>
  </si>
  <si>
    <t xml:space="preserve">0031-R055</t>
  </si>
  <si>
    <t xml:space="preserve">0031-R056</t>
  </si>
  <si>
    <t xml:space="preserve">0031-R057</t>
  </si>
  <si>
    <t xml:space="preserve">0031-R058</t>
  </si>
  <si>
    <t xml:space="preserve">0031-R059</t>
  </si>
  <si>
    <t xml:space="preserve">0031-R060</t>
  </si>
  <si>
    <t xml:space="preserve">0031-R061</t>
  </si>
  <si>
    <t xml:space="preserve">0031-R062</t>
  </si>
  <si>
    <t xml:space="preserve">0028-R001</t>
  </si>
  <si>
    <t xml:space="preserve">0028-R002</t>
  </si>
  <si>
    <t xml:space="preserve">0028-R003</t>
  </si>
  <si>
    <t xml:space="preserve">0028-R004</t>
  </si>
  <si>
    <t xml:space="preserve">0028-R005</t>
  </si>
  <si>
    <t xml:space="preserve">0028-R006</t>
  </si>
  <si>
    <t xml:space="preserve">0028-R007</t>
  </si>
  <si>
    <t xml:space="preserve">0028-R008</t>
  </si>
  <si>
    <t xml:space="preserve">0028-R009</t>
  </si>
  <si>
    <t xml:space="preserve">0028-R010</t>
  </si>
  <si>
    <t xml:space="preserve">0028-R011</t>
  </si>
  <si>
    <t xml:space="preserve">0028-R012</t>
  </si>
  <si>
    <t xml:space="preserve">0028-R013</t>
  </si>
  <si>
    <t xml:space="preserve">0028-R014</t>
  </si>
  <si>
    <t xml:space="preserve">0028-R015</t>
  </si>
  <si>
    <t xml:space="preserve">0028-R016</t>
  </si>
  <si>
    <t xml:space="preserve">0028-R017</t>
  </si>
  <si>
    <t xml:space="preserve">0028-R018</t>
  </si>
  <si>
    <t xml:space="preserve">0028-R019</t>
  </si>
  <si>
    <t xml:space="preserve">0028-R020</t>
  </si>
  <si>
    <t xml:space="preserve">0028-R021</t>
  </si>
  <si>
    <t xml:space="preserve">0028-R022</t>
  </si>
  <si>
    <t xml:space="preserve">0028-R023</t>
  </si>
  <si>
    <t xml:space="preserve">0028-R024</t>
  </si>
  <si>
    <t xml:space="preserve">0028-R025</t>
  </si>
  <si>
    <t xml:space="preserve">0028-R026</t>
  </si>
  <si>
    <t xml:space="preserve">0028-R027</t>
  </si>
  <si>
    <t xml:space="preserve">0028-R028</t>
  </si>
  <si>
    <t xml:space="preserve">0028-R029</t>
  </si>
  <si>
    <t xml:space="preserve">0028-R030</t>
  </si>
  <si>
    <t xml:space="preserve">0028-R031</t>
  </si>
  <si>
    <t xml:space="preserve">0028-R032</t>
  </si>
  <si>
    <t xml:space="preserve">0028-R033</t>
  </si>
  <si>
    <t xml:space="preserve">0028-R034</t>
  </si>
  <si>
    <t xml:space="preserve">0028-R035</t>
  </si>
  <si>
    <t xml:space="preserve">0028-R036</t>
  </si>
  <si>
    <t xml:space="preserve">0028-R037</t>
  </si>
  <si>
    <t xml:space="preserve">0028-R038</t>
  </si>
  <si>
    <t xml:space="preserve">0028-R039</t>
  </si>
  <si>
    <t xml:space="preserve">0028-R040</t>
  </si>
  <si>
    <t xml:space="preserve">0028-R041</t>
  </si>
  <si>
    <t xml:space="preserve">0028-R042</t>
  </si>
  <si>
    <t xml:space="preserve">0028-R043</t>
  </si>
  <si>
    <t xml:space="preserve">0028-R044</t>
  </si>
  <si>
    <t xml:space="preserve">0028-R045</t>
  </si>
  <si>
    <t xml:space="preserve">0028-R046</t>
  </si>
  <si>
    <t xml:space="preserve">0028-R047</t>
  </si>
  <si>
    <t xml:space="preserve">0028-R048</t>
  </si>
  <si>
    <t xml:space="preserve">0028-R049</t>
  </si>
  <si>
    <t xml:space="preserve">0028-R050</t>
  </si>
  <si>
    <t xml:space="preserve">0028-R051</t>
  </si>
  <si>
    <t xml:space="preserve">0028-R052</t>
  </si>
  <si>
    <t xml:space="preserve">0028-R053</t>
  </si>
  <si>
    <t xml:space="preserve">0028-R054</t>
  </si>
  <si>
    <t xml:space="preserve">0028-R055</t>
  </si>
  <si>
    <t xml:space="preserve">0028-R056</t>
  </si>
  <si>
    <t xml:space="preserve">0028-R057</t>
  </si>
  <si>
    <t xml:space="preserve">0028-R058</t>
  </si>
  <si>
    <t xml:space="preserve">0028-R059</t>
  </si>
  <si>
    <t xml:space="preserve">0028-R060</t>
  </si>
  <si>
    <t xml:space="preserve">0028-R061</t>
  </si>
  <si>
    <t xml:space="preserve">0028-R062</t>
  </si>
  <si>
    <t xml:space="preserve">0028-R063</t>
  </si>
  <si>
    <t xml:space="preserve">0028-R064</t>
  </si>
  <si>
    <t xml:space="preserve">0028-R065</t>
  </si>
  <si>
    <t xml:space="preserve">0028-R066</t>
  </si>
  <si>
    <t xml:space="preserve">0028-R067</t>
  </si>
  <si>
    <t xml:space="preserve">0028-R068</t>
  </si>
  <si>
    <t xml:space="preserve">0028-R069</t>
  </si>
  <si>
    <t xml:space="preserve">0028-R070</t>
  </si>
  <si>
    <t xml:space="preserve">0028-R071</t>
  </si>
  <si>
    <t xml:space="preserve">0028-R072</t>
  </si>
  <si>
    <t xml:space="preserve">0028-R073</t>
  </si>
  <si>
    <t xml:space="preserve">0028-R074</t>
  </si>
  <si>
    <t xml:space="preserve">0028-R075</t>
  </si>
  <si>
    <t xml:space="preserve">0028-R076</t>
  </si>
  <si>
    <t xml:space="preserve">0028-R077</t>
  </si>
  <si>
    <t xml:space="preserve">0028-R078</t>
  </si>
  <si>
    <t xml:space="preserve">0028-R079</t>
  </si>
  <si>
    <t xml:space="preserve">0028-R080</t>
  </si>
  <si>
    <t xml:space="preserve">0028-R081</t>
  </si>
  <si>
    <t xml:space="preserve">0028-R082</t>
  </si>
  <si>
    <t xml:space="preserve">0028-R083</t>
  </si>
  <si>
    <t xml:space="preserve">0028-R084</t>
  </si>
  <si>
    <t xml:space="preserve">Event</t>
  </si>
  <si>
    <t xml:space="preserve">Label start frame</t>
  </si>
  <si>
    <t xml:space="preserve">Label end frame</t>
  </si>
  <si>
    <t xml:space="preserve">Label start (h:mm:ss)</t>
  </si>
  <si>
    <t xml:space="preserve">Label duration (s)</t>
  </si>
  <si>
    <t xml:space="preserve">Matched episode</t>
  </si>
  <si>
    <t xml:space="preserve">Episode start frame</t>
  </si>
  <si>
    <t xml:space="preserve">Episode end frame</t>
  </si>
  <si>
    <t xml:space="preserve">Start error (s)</t>
  </si>
  <si>
    <t xml:space="preserve">End error (s)</t>
  </si>
  <si>
    <t xml:space="preserve">Coverage of labeled frames</t>
  </si>
  <si>
    <t xml:space="preserve">Median |start error| (s)</t>
  </si>
  <si>
    <t xml:space="preserve">Median |end error| (s)</t>
  </si>
  <si>
    <t xml:space="preserve">Mean coverage</t>
  </si>
  <si>
    <t xml:space="preserve">Negative start error = detector starts before the label; positive end error = detector ends after it. Coverage (blue) is the share of labeled frames inside any detected episode, computed frame by frame by circling_rule_detector.py; it is a value, not a formula, because it needs the per-frame data.</t>
  </si>
  <si>
    <t xml:space="preserve">Detector settings (rule v2) and review thresholds</t>
  </si>
  <si>
    <t xml:space="preserve">Setting</t>
  </si>
  <si>
    <t xml:space="preserve">Value</t>
  </si>
  <si>
    <t xml:space="preserve">Meaning</t>
  </si>
  <si>
    <t xml:space="preserve">Frames per second</t>
  </si>
  <si>
    <t xml:space="preserve">Video frame rate</t>
  </si>
  <si>
    <t xml:space="preserve">Close distance (px)</t>
  </si>
  <si>
    <t xml:space="preserve">Pair counts as close when centroid distance is below this</t>
  </si>
  <si>
    <t xml:space="preserve">Rotation window (s)</t>
  </si>
  <si>
    <t xml:space="preserve">Centered rolling window for summing orbital rotation</t>
  </si>
  <si>
    <t xml:space="preserve">Start threshold (turns)</t>
  </si>
  <si>
    <t xml:space="preserve">Episode starts when rotation in the window reaches this</t>
  </si>
  <si>
    <t xml:space="preserve">Keep threshold (turns)</t>
  </si>
  <si>
    <t xml:space="preserve">Episode continues while rotation stays above this (hysteresis)</t>
  </si>
  <si>
    <t xml:space="preserve">Merge pauses shorter than (s)</t>
  </si>
  <si>
    <t xml:space="preserve">Episodes separated by less than this are merged</t>
  </si>
  <si>
    <t xml:space="preserve">Minimum episode length (s)</t>
  </si>
  <si>
    <t xml:space="preserve">Shorter episodes are dropped</t>
  </si>
  <si>
    <t xml:space="preserve">High confidence: min net turns</t>
  </si>
  <si>
    <t xml:space="preserve">Review aid only; edit to re-tier the Candidates sheet</t>
  </si>
  <si>
    <t xml:space="preserve">High confidence: min duration (s)</t>
  </si>
  <si>
    <t xml:space="preserve">Review aid only</t>
  </si>
  <si>
    <t xml:space="preserve">Medium confidence: min net turns</t>
  </si>
  <si>
    <t xml:space="preserve">Review aid only; anything below is Low</t>
  </si>
  <si>
    <t xml:space="preserve">Rows 4-9 document the settings used to produce this list (circling_rule_detector.py); changing them here does NOT re-run the detector. Rows 3 and 11-13 feed formulas in this workbook and can be edited.</t>
  </si>
  <si>
    <t xml:space="preserve">About this list</t>
  </si>
  <si>
    <t xml:space="preserve">Source</t>
  </si>
  <si>
    <t xml:space="preserve">circling_rule_detector.py (rule v2), run on the lab pipeline's pair tables 0031_vid_pairs.parquet and 0028_vid_pairs.parquet after cleaning with circling_cleaning.py (reflections, duplicates, keypoint jumps removed).</t>
  </si>
  <si>
    <t xml:space="preserve">Same list as CSV</t>
  </si>
  <si>
    <t xml:space="preserve">outputs/rule_detector/circling_detections_rule_v2.csv (written when the notebook runs).</t>
  </si>
  <si>
    <t xml:space="preserve">The rule</t>
  </si>
  <si>
    <t xml:space="preserve">Take the closest pair of fish in each frame. Call it circling when the pair stays within 160 px and rotates around each other at least 3/4 of a turn within 4 s; keep going while rotation stays above 0.4 turns, merge pauses under 3 s, drop episodes shorter than 2 s.</t>
  </si>
  <si>
    <t xml:space="preserve">Validation</t>
  </si>
  <si>
    <t xml:space="preserve">Catches all 15 human-labeled circling events (8 in 0031, 7 in 0028), one episode per event, median start/end error within about 1 s. Details on the Labeled events sheet.</t>
  </si>
  <si>
    <t xml:space="preserve">Frame numbers</t>
  </si>
  <si>
    <t xml:space="preserve">Frame index in the original video at 30 fps. To view an episode: ffmpeg -ss &lt;start_frame/30&gt; -i &lt;video&gt; -t &lt;duration&gt; clip.mp4</t>
  </si>
  <si>
    <t xml:space="preserve">Fish identity</t>
  </si>
  <si>
    <t xml:space="preserve">Not included: track IDs last under a second and change several times per episode, so an ID column would be misleading until track stitching exists.</t>
  </si>
  <si>
    <t xml:space="preserve">How to review</t>
  </si>
  <si>
    <t xml:space="preserve">Yellow cells</t>
  </si>
  <si>
    <t xml:space="preserve">The only cells to fill in (Candidates sheet, columns M-O). Everything else is data or a formula.</t>
  </si>
  <si>
    <t xml:space="preserve">Pick from the dropdown after watching the episode.</t>
  </si>
  <si>
    <t xml:space="preserve">Your initials.</t>
  </si>
  <si>
    <t xml:space="preserve">Anything useful: partial circling, third fish joins, reflection slipped through, wrong start/end, etc.</t>
  </si>
  <si>
    <t xml:space="preserve">Blue text</t>
  </si>
  <si>
    <t xml:space="preserve">Hardcoded values (settings, coverage) that are not formulas.</t>
  </si>
  <si>
    <t xml:space="preserve">Green text</t>
  </si>
  <si>
    <t xml:space="preserve">Values pulled from another sheet.</t>
  </si>
  <si>
    <t xml:space="preserve">Example of a reviewed row (for format only; not real review data)</t>
  </si>
  <si>
    <t xml:space="preserve">Y</t>
  </si>
  <si>
    <t xml:space="preserve">AB</t>
  </si>
  <si>
    <t xml:space="preserve">Clear circling, ~3 turns; ends when female swims into the pit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</si>
</sst>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"/>
    <numFmt numFmtId="166" formatCode="0.0"/>
    <numFmt numFmtId="167" formatCode="0%"/>
    <numFmt numFmtId="168" formatCode="[h]:mm:ss"/>
    <numFmt numFmtId="169" formatCode="0.00"/>
    <numFmt numFmtId="170" formatCode="\+0.0;\-0.0;0.0"/>
    <numFmt numFmtId="171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52514E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2"/>
    </font>
    <font>
      <sz val="11"/>
      <color rgb="FF008000"/>
      <name val="Arial"/>
      <family val="0"/>
      <charset val="1"/>
    </font>
    <font>
      <sz val="11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A3F5F"/>
        <bgColor rgb="FF333399"/>
      </patternFill>
    </fill>
    <fill>
      <patternFill patternType="solid">
        <fgColor rgb="FFFFF9C4"/>
        <bgColor rgb="FFFFFF99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>
        <color rgb="FF2A3F5F"/>
      </top>
      <bottom/>
      <diagonal/>
    </border>
    <border diagonalUp="false" diagonalDown="false">
      <left/>
      <right/>
      <top/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A3F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9C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C4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2514E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A3F5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3" min="2" style="0" width="12"/>
    <col collapsed="false" customWidth="true" hidden="false" outlineLevel="0" max="4" min="4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n">
        <f aca="false">COUNTIF(Candidates!$A:$A,B$4)</f>
        <v>62</v>
      </c>
      <c r="C5" s="5" t="n">
        <f aca="false">COUNTIF(Candidates!$A:$A,C$4)</f>
        <v>84</v>
      </c>
      <c r="D5" s="5" t="n">
        <f aca="false">B5+C5</f>
        <v>146</v>
      </c>
    </row>
    <row r="6" customFormat="false" ht="15" hidden="false" customHeight="false" outlineLevel="0" collapsed="false">
      <c r="A6" s="4" t="s">
        <v>7</v>
      </c>
      <c r="B6" s="6" t="n">
        <f aca="false">SUMIFS(Candidates!$G:$G,Candidates!$A:$A,B$4)/60</f>
        <v>19.0611111111111</v>
      </c>
      <c r="C6" s="6" t="n">
        <f aca="false">SUMIFS(Candidates!$G:$G,Candidates!$A:$A,C$4)/60</f>
        <v>14.8255555555556</v>
      </c>
      <c r="D6" s="6" t="n">
        <f aca="false">B6+C6</f>
        <v>33.8866666666667</v>
      </c>
    </row>
    <row r="7" customFormat="false" ht="15" hidden="false" customHeight="false" outlineLevel="0" collapsed="false">
      <c r="A7" s="4" t="s">
        <v>8</v>
      </c>
      <c r="B7" s="6" t="n">
        <f aca="false" t="array" ref="B7:B7">MEDIAN(IF(Candidates!$A$2:$A$147=B$4,Candidates!$G$2:$G$147))</f>
        <v>12.6</v>
      </c>
      <c r="C7" s="6" t="n">
        <f aca="false" t="array" ref="C7:C7">MEDIAN(IF(Candidates!$A$2:$A$147=C$4,Candidates!$G$2:$G$147))</f>
        <v>9.08333333333333</v>
      </c>
      <c r="D7" s="6" t="n">
        <f aca="false">MEDIAN(Candidates!$G$2:$G$147)</f>
        <v>9.61666666666667</v>
      </c>
    </row>
    <row r="8" customFormat="false" ht="15" hidden="false" customHeight="false" outlineLevel="0" collapsed="false">
      <c r="A8" s="4" t="s">
        <v>9</v>
      </c>
      <c r="B8" s="5" t="n">
        <f aca="false">COUNTIFS(Candidates!$A:$A,B$4,Candidates!$L:$L,"Yes*")</f>
        <v>8</v>
      </c>
      <c r="C8" s="5" t="n">
        <f aca="false">COUNTIFS(Candidates!$A:$A,C$4,Candidates!$L:$L,"Yes*")</f>
        <v>7</v>
      </c>
      <c r="D8" s="5" t="n">
        <f aca="false">B8+C8</f>
        <v>15</v>
      </c>
    </row>
    <row r="9" customFormat="false" ht="15" hidden="false" customHeight="false" outlineLevel="0" collapsed="false">
      <c r="A9" s="4" t="s">
        <v>10</v>
      </c>
      <c r="B9" s="5" t="n">
        <f aca="false">COUNTIF('Labeled events'!$A:$A,B$4)</f>
        <v>8</v>
      </c>
      <c r="C9" s="5" t="n">
        <f aca="false">COUNTIF('Labeled events'!$A:$A,C$4)</f>
        <v>7</v>
      </c>
      <c r="D9" s="5" t="n">
        <f aca="false">B9+C9</f>
        <v>15</v>
      </c>
    </row>
    <row r="10" customFormat="false" ht="15" hidden="false" customHeight="false" outlineLevel="0" collapsed="false">
      <c r="A10" s="4" t="s">
        <v>11</v>
      </c>
      <c r="B10" s="5" t="n">
        <f aca="false">COUNTIFS('Labeled events'!$A:$A,B$4,'Labeled events'!$G:$G,"?*")</f>
        <v>8</v>
      </c>
      <c r="C10" s="5" t="n">
        <f aca="false">COUNTIFS('Labeled events'!$A:$A,C$4,'Labeled events'!$G:$G,"?*")</f>
        <v>7</v>
      </c>
      <c r="D10" s="5" t="n">
        <f aca="false">B10+C10</f>
        <v>15</v>
      </c>
    </row>
    <row r="11" customFormat="false" ht="15" hidden="false" customHeight="false" outlineLevel="0" collapsed="false">
      <c r="A11" s="4" t="s">
        <v>12</v>
      </c>
      <c r="B11" s="5" t="n">
        <f aca="false">COUNTIFS(Candidates!$A:$A,B$4,Candidates!$K:$K,"High")</f>
        <v>42</v>
      </c>
      <c r="C11" s="5" t="n">
        <f aca="false">COUNTIFS(Candidates!$A:$A,C$4,Candidates!$K:$K,"High")</f>
        <v>63</v>
      </c>
      <c r="D11" s="5" t="n">
        <f aca="false">B11+C11</f>
        <v>105</v>
      </c>
    </row>
    <row r="12" customFormat="false" ht="15" hidden="false" customHeight="false" outlineLevel="0" collapsed="false">
      <c r="A12" s="4" t="s">
        <v>13</v>
      </c>
      <c r="B12" s="5" t="n">
        <f aca="false">COUNTIFS(Candidates!$A:$A,B$4,Candidates!$K:$K,"Medium")</f>
        <v>6</v>
      </c>
      <c r="C12" s="5" t="n">
        <f aca="false">COUNTIFS(Candidates!$A:$A,C$4,Candidates!$K:$K,"Medium")</f>
        <v>15</v>
      </c>
      <c r="D12" s="5" t="n">
        <f aca="false">B12+C12</f>
        <v>21</v>
      </c>
    </row>
    <row r="13" customFormat="false" ht="15" hidden="false" customHeight="false" outlineLevel="0" collapsed="false">
      <c r="A13" s="4" t="s">
        <v>14</v>
      </c>
      <c r="B13" s="5" t="n">
        <f aca="false">COUNTIFS(Candidates!$A:$A,B$4,Candidates!$K:$K,"Low")</f>
        <v>14</v>
      </c>
      <c r="C13" s="5" t="n">
        <f aca="false">COUNTIFS(Candidates!$A:$A,C$4,Candidates!$K:$K,"Low")</f>
        <v>6</v>
      </c>
      <c r="D13" s="5" t="n">
        <f aca="false">B13+C13</f>
        <v>20</v>
      </c>
    </row>
    <row r="14" customFormat="false" ht="15" hidden="false" customHeight="false" outlineLevel="0" collapsed="false">
      <c r="A14" s="7" t="s">
        <v>15</v>
      </c>
      <c r="B14" s="8" t="n">
        <f aca="false">COUNTIFS(Candidates!$A:$A,B$4,Candidates!$M:$M,"?*")</f>
        <v>0</v>
      </c>
      <c r="C14" s="8" t="n">
        <f aca="false">COUNTIFS(Candidates!$A:$A,C$4,Candidates!$M:$M,"?*")</f>
        <v>0</v>
      </c>
      <c r="D14" s="8" t="n">
        <f aca="false">B14+C14</f>
        <v>0</v>
      </c>
    </row>
    <row r="15" customFormat="false" ht="15" hidden="false" customHeight="false" outlineLevel="0" collapsed="false">
      <c r="A15" s="4" t="s">
        <v>16</v>
      </c>
      <c r="B15" s="5" t="n">
        <f aca="false">COUNTIFS(Candidates!$A:$A,B$4,Candidates!$M:$M,"Y")</f>
        <v>0</v>
      </c>
      <c r="C15" s="5" t="n">
        <f aca="false">COUNTIFS(Candidates!$A:$A,C$4,Candidates!$M:$M,"Y")</f>
        <v>0</v>
      </c>
      <c r="D15" s="5" t="n">
        <f aca="false">B15+C15</f>
        <v>0</v>
      </c>
    </row>
    <row r="16" customFormat="false" ht="15" hidden="false" customHeight="false" outlineLevel="0" collapsed="false">
      <c r="A16" s="4" t="s">
        <v>17</v>
      </c>
      <c r="B16" s="5" t="n">
        <f aca="false">COUNTIFS(Candidates!$A:$A,B$4,Candidates!$M:$M,"N")</f>
        <v>0</v>
      </c>
      <c r="C16" s="5" t="n">
        <f aca="false">COUNTIFS(Candidates!$A:$A,C$4,Candidates!$M:$M,"N")</f>
        <v>0</v>
      </c>
      <c r="D16" s="5" t="n">
        <f aca="false">B16+C16</f>
        <v>0</v>
      </c>
    </row>
    <row r="17" customFormat="false" ht="15" hidden="false" customHeight="false" outlineLevel="0" collapsed="false">
      <c r="A17" s="4" t="s">
        <v>18</v>
      </c>
      <c r="B17" s="9" t="str">
        <f aca="false">IFERROR(B15/(B15+B16),"no reviews yet")</f>
        <v>no reviews yet</v>
      </c>
      <c r="C17" s="9" t="str">
        <f aca="false">IFERROR(C15/(C15+C16),"no reviews yet")</f>
        <v>no reviews yet</v>
      </c>
      <c r="D17" s="9" t="str">
        <f aca="false">IFERROR(D15/(D15+D16),"no reviews yet")</f>
        <v>no reviews yet</v>
      </c>
    </row>
    <row r="19" customFormat="false" ht="15" hidden="false" customHeight="true" outlineLevel="0" collapsed="false">
      <c r="A19" s="10" t="s">
        <v>19</v>
      </c>
      <c r="B19" s="10"/>
      <c r="C19" s="10"/>
      <c r="D19" s="10"/>
    </row>
    <row r="20" customFormat="false" ht="15" hidden="false" customHeight="false" outlineLevel="0" collapsed="false">
      <c r="A20" s="10"/>
      <c r="B20" s="10"/>
      <c r="C20" s="10"/>
      <c r="D20" s="10"/>
    </row>
    <row r="21" customFormat="false" ht="15" hidden="false" customHeight="false" outlineLevel="0" collapsed="false">
      <c r="A21" s="10"/>
      <c r="B21" s="10"/>
      <c r="C21" s="10"/>
      <c r="D21" s="10"/>
    </row>
  </sheetData>
  <mergeCells count="1">
    <mergeCell ref="A19:D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4" min="3" style="0" width="11"/>
    <col collapsed="false" customWidth="true" hidden="false" outlineLevel="0" max="6" min="5" style="0" width="12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1" min="10" style="0" width="11"/>
    <col collapsed="false" customWidth="true" hidden="false" outlineLevel="0" max="12" min="12" style="0" width="15"/>
    <col collapsed="false" customWidth="true" hidden="false" outlineLevel="0" max="13" min="13" style="0" width="13"/>
    <col collapsed="false" customWidth="true" hidden="false" outlineLevel="0" max="14" min="14" style="0" width="12"/>
    <col collapsed="false" customWidth="true" hidden="false" outlineLevel="0" max="15" min="15" style="0" width="40"/>
  </cols>
  <sheetData>
    <row r="1" customFormat="false" ht="31.5" hidden="false" customHeight="true" outlineLevel="0" collapsed="false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  <c r="L1" s="3" t="s">
        <v>31</v>
      </c>
      <c r="M1" s="3" t="s">
        <v>32</v>
      </c>
      <c r="N1" s="3" t="s">
        <v>33</v>
      </c>
      <c r="O1" s="3" t="s">
        <v>34</v>
      </c>
    </row>
    <row r="2" customFormat="false" ht="15" hidden="false" customHeight="false" outlineLevel="0" collapsed="false">
      <c r="A2" s="11" t="s">
        <v>3</v>
      </c>
      <c r="B2" s="11" t="s">
        <v>35</v>
      </c>
      <c r="C2" s="12" t="n">
        <v>98132</v>
      </c>
      <c r="D2" s="12" t="n">
        <v>98362</v>
      </c>
      <c r="E2" s="13" t="n">
        <f aca="false">C2/Settings!$B$3/86400</f>
        <v>0.0378595679012346</v>
      </c>
      <c r="F2" s="13" t="n">
        <f aca="false">D2/Settings!$B$3/86400</f>
        <v>0.0379483024691358</v>
      </c>
      <c r="G2" s="14" t="n">
        <f aca="false">(D2-C2+1)/Settings!$B$3</f>
        <v>7.7</v>
      </c>
      <c r="H2" s="15" t="n">
        <v>1.79</v>
      </c>
      <c r="I2" s="15" t="n">
        <f aca="false">H2/G2</f>
        <v>0.232467532467532</v>
      </c>
      <c r="J2" s="14" t="n">
        <v>91.4</v>
      </c>
      <c r="K2" s="11" t="str">
        <f aca="false">IF(AND(H2&gt;=Settings!$B$11,G2&gt;=Settings!$B$12),"High",IF(H2&gt;=Settings!$B$13,"Medium","Low"))</f>
        <v>High</v>
      </c>
      <c r="L2" s="11" t="s">
        <v>36</v>
      </c>
      <c r="M2" s="16"/>
      <c r="N2" s="16"/>
      <c r="O2" s="16"/>
    </row>
    <row r="3" customFormat="false" ht="15" hidden="false" customHeight="false" outlineLevel="0" collapsed="false">
      <c r="A3" s="11" t="s">
        <v>3</v>
      </c>
      <c r="B3" s="11" t="s">
        <v>37</v>
      </c>
      <c r="C3" s="12" t="n">
        <v>98648</v>
      </c>
      <c r="D3" s="12" t="n">
        <v>98714</v>
      </c>
      <c r="E3" s="13" t="n">
        <f aca="false">C3/Settings!$B$3/86400</f>
        <v>0.0380586419753086</v>
      </c>
      <c r="F3" s="13" t="n">
        <f aca="false">D3/Settings!$B$3/86400</f>
        <v>0.0380841049382716</v>
      </c>
      <c r="G3" s="14" t="n">
        <f aca="false">(D3-C3+1)/Settings!$B$3</f>
        <v>2.23333333333333</v>
      </c>
      <c r="H3" s="15" t="n">
        <v>0.36</v>
      </c>
      <c r="I3" s="15" t="n">
        <f aca="false">H3/G3</f>
        <v>0.161194029850746</v>
      </c>
      <c r="J3" s="14" t="n">
        <v>126.9</v>
      </c>
      <c r="K3" s="11" t="str">
        <f aca="false">IF(AND(H3&gt;=Settings!$B$11,G3&gt;=Settings!$B$12),"High",IF(H3&gt;=Settings!$B$13,"Medium","Low"))</f>
        <v>Low</v>
      </c>
      <c r="L3" s="11" t="s">
        <v>36</v>
      </c>
      <c r="M3" s="16"/>
      <c r="N3" s="16"/>
      <c r="O3" s="16"/>
    </row>
    <row r="4" customFormat="false" ht="15" hidden="false" customHeight="false" outlineLevel="0" collapsed="false">
      <c r="A4" s="11" t="s">
        <v>3</v>
      </c>
      <c r="B4" s="11" t="s">
        <v>38</v>
      </c>
      <c r="C4" s="12" t="n">
        <v>98918</v>
      </c>
      <c r="D4" s="12" t="n">
        <v>99205</v>
      </c>
      <c r="E4" s="13" t="n">
        <f aca="false">C4/Settings!$B$3/86400</f>
        <v>0.0381628086419753</v>
      </c>
      <c r="F4" s="13" t="n">
        <f aca="false">D4/Settings!$B$3/86400</f>
        <v>0.0382735339506173</v>
      </c>
      <c r="G4" s="14" t="n">
        <f aca="false">(D4-C4+1)/Settings!$B$3</f>
        <v>9.6</v>
      </c>
      <c r="H4" s="15" t="n">
        <v>2.09</v>
      </c>
      <c r="I4" s="15" t="n">
        <f aca="false">H4/G4</f>
        <v>0.217708333333333</v>
      </c>
      <c r="J4" s="14" t="n">
        <v>96.5</v>
      </c>
      <c r="K4" s="11" t="str">
        <f aca="false">IF(AND(H4&gt;=Settings!$B$11,G4&gt;=Settings!$B$12),"High",IF(H4&gt;=Settings!$B$13,"Medium","Low"))</f>
        <v>High</v>
      </c>
      <c r="L4" s="11" t="s">
        <v>36</v>
      </c>
      <c r="M4" s="16"/>
      <c r="N4" s="16"/>
      <c r="O4" s="16"/>
    </row>
    <row r="5" customFormat="false" ht="15" hidden="false" customHeight="false" outlineLevel="0" collapsed="false">
      <c r="A5" s="11" t="s">
        <v>3</v>
      </c>
      <c r="B5" s="11" t="s">
        <v>39</v>
      </c>
      <c r="C5" s="12" t="n">
        <v>104742</v>
      </c>
      <c r="D5" s="12" t="n">
        <v>104804</v>
      </c>
      <c r="E5" s="13" t="n">
        <f aca="false">C5/Settings!$B$3/86400</f>
        <v>0.0404097222222222</v>
      </c>
      <c r="F5" s="13" t="n">
        <f aca="false">D5/Settings!$B$3/86400</f>
        <v>0.0404336419753086</v>
      </c>
      <c r="G5" s="14" t="n">
        <f aca="false">(D5-C5+1)/Settings!$B$3</f>
        <v>2.1</v>
      </c>
      <c r="H5" s="15" t="n">
        <v>0.45</v>
      </c>
      <c r="I5" s="15" t="n">
        <f aca="false">H5/G5</f>
        <v>0.214285714285714</v>
      </c>
      <c r="J5" s="14" t="n">
        <v>80.9</v>
      </c>
      <c r="K5" s="11" t="str">
        <f aca="false">IF(AND(H5&gt;=Settings!$B$11,G5&gt;=Settings!$B$12),"High",IF(H5&gt;=Settings!$B$13,"Medium","Low"))</f>
        <v>Low</v>
      </c>
      <c r="L5" s="11" t="s">
        <v>36</v>
      </c>
      <c r="M5" s="16"/>
      <c r="N5" s="16"/>
      <c r="O5" s="16"/>
    </row>
    <row r="6" customFormat="false" ht="15" hidden="false" customHeight="false" outlineLevel="0" collapsed="false">
      <c r="A6" s="11" t="s">
        <v>3</v>
      </c>
      <c r="B6" s="11" t="s">
        <v>40</v>
      </c>
      <c r="C6" s="12" t="n">
        <v>119879</v>
      </c>
      <c r="D6" s="12" t="n">
        <v>120687</v>
      </c>
      <c r="E6" s="13" t="n">
        <f aca="false">C6/Settings!$B$3/86400</f>
        <v>0.0462496141975309</v>
      </c>
      <c r="F6" s="13" t="n">
        <f aca="false">D6/Settings!$B$3/86400</f>
        <v>0.0465613425925926</v>
      </c>
      <c r="G6" s="14" t="n">
        <f aca="false">(D6-C6+1)/Settings!$B$3</f>
        <v>26.9666666666667</v>
      </c>
      <c r="H6" s="15" t="n">
        <v>5.65</v>
      </c>
      <c r="I6" s="15" t="n">
        <f aca="false">H6/G6</f>
        <v>0.209517923362176</v>
      </c>
      <c r="J6" s="14" t="n">
        <v>92.7</v>
      </c>
      <c r="K6" s="11" t="str">
        <f aca="false">IF(AND(H6&gt;=Settings!$B$11,G6&gt;=Settings!$B$12),"High",IF(H6&gt;=Settings!$B$13,"Medium","Low"))</f>
        <v>High</v>
      </c>
      <c r="L6" s="11" t="s">
        <v>36</v>
      </c>
      <c r="M6" s="16"/>
      <c r="N6" s="16"/>
      <c r="O6" s="16"/>
    </row>
    <row r="7" customFormat="false" ht="15" hidden="false" customHeight="false" outlineLevel="0" collapsed="false">
      <c r="A7" s="11" t="s">
        <v>3</v>
      </c>
      <c r="B7" s="11" t="s">
        <v>41</v>
      </c>
      <c r="C7" s="12" t="n">
        <v>121451</v>
      </c>
      <c r="D7" s="12" t="n">
        <v>121749</v>
      </c>
      <c r="E7" s="13" t="n">
        <f aca="false">C7/Settings!$B$3/86400</f>
        <v>0.0468560956790124</v>
      </c>
      <c r="F7" s="13" t="n">
        <f aca="false">D7/Settings!$B$3/86400</f>
        <v>0.0469710648148148</v>
      </c>
      <c r="G7" s="14" t="n">
        <f aca="false">(D7-C7+1)/Settings!$B$3</f>
        <v>9.96666666666667</v>
      </c>
      <c r="H7" s="15" t="n">
        <v>1.74</v>
      </c>
      <c r="I7" s="15" t="n">
        <f aca="false">H7/G7</f>
        <v>0.174581939799331</v>
      </c>
      <c r="J7" s="14" t="n">
        <v>104.5</v>
      </c>
      <c r="K7" s="11" t="str">
        <f aca="false">IF(AND(H7&gt;=Settings!$B$11,G7&gt;=Settings!$B$12),"High",IF(H7&gt;=Settings!$B$13,"Medium","Low"))</f>
        <v>High</v>
      </c>
      <c r="L7" s="11" t="s">
        <v>36</v>
      </c>
      <c r="M7" s="16"/>
      <c r="N7" s="16"/>
      <c r="O7" s="16"/>
    </row>
    <row r="8" customFormat="false" ht="15" hidden="false" customHeight="false" outlineLevel="0" collapsed="false">
      <c r="A8" s="11" t="s">
        <v>3</v>
      </c>
      <c r="B8" s="11" t="s">
        <v>42</v>
      </c>
      <c r="C8" s="12" t="n">
        <v>122835</v>
      </c>
      <c r="D8" s="12" t="n">
        <v>125260</v>
      </c>
      <c r="E8" s="13" t="n">
        <f aca="false">C8/Settings!$B$3/86400</f>
        <v>0.0473900462962963</v>
      </c>
      <c r="F8" s="13" t="n">
        <f aca="false">D8/Settings!$B$3/86400</f>
        <v>0.0483256172839506</v>
      </c>
      <c r="G8" s="14" t="n">
        <f aca="false">(D8-C8+1)/Settings!$B$3</f>
        <v>80.8666666666667</v>
      </c>
      <c r="H8" s="15" t="n">
        <v>14.51</v>
      </c>
      <c r="I8" s="15" t="n">
        <f aca="false">H8/G8</f>
        <v>0.179431162407255</v>
      </c>
      <c r="J8" s="14" t="n">
        <v>90.1</v>
      </c>
      <c r="K8" s="11" t="str">
        <f aca="false">IF(AND(H8&gt;=Settings!$B$11,G8&gt;=Settings!$B$12),"High",IF(H8&gt;=Settings!$B$13,"Medium","Low"))</f>
        <v>High</v>
      </c>
      <c r="L8" s="11" t="s">
        <v>36</v>
      </c>
      <c r="M8" s="16"/>
      <c r="N8" s="16"/>
      <c r="O8" s="16"/>
    </row>
    <row r="9" customFormat="false" ht="15" hidden="false" customHeight="false" outlineLevel="0" collapsed="false">
      <c r="A9" s="11" t="s">
        <v>3</v>
      </c>
      <c r="B9" s="11" t="s">
        <v>43</v>
      </c>
      <c r="C9" s="12" t="n">
        <v>130018</v>
      </c>
      <c r="D9" s="12" t="n">
        <v>130295</v>
      </c>
      <c r="E9" s="13" t="n">
        <f aca="false">C9/Settings!$B$3/86400</f>
        <v>0.0501612654320988</v>
      </c>
      <c r="F9" s="13" t="n">
        <f aca="false">D9/Settings!$B$3/86400</f>
        <v>0.0502681327160494</v>
      </c>
      <c r="G9" s="14" t="n">
        <f aca="false">(D9-C9+1)/Settings!$B$3</f>
        <v>9.26666666666667</v>
      </c>
      <c r="H9" s="15" t="n">
        <v>1.73</v>
      </c>
      <c r="I9" s="15" t="n">
        <f aca="false">H9/G9</f>
        <v>0.186690647482014</v>
      </c>
      <c r="J9" s="14" t="n">
        <v>101.1</v>
      </c>
      <c r="K9" s="11" t="str">
        <f aca="false">IF(AND(H9&gt;=Settings!$B$11,G9&gt;=Settings!$B$12),"High",IF(H9&gt;=Settings!$B$13,"Medium","Low"))</f>
        <v>High</v>
      </c>
      <c r="L9" s="11" t="s">
        <v>36</v>
      </c>
      <c r="M9" s="16"/>
      <c r="N9" s="16"/>
      <c r="O9" s="16"/>
    </row>
    <row r="10" customFormat="false" ht="15" hidden="false" customHeight="false" outlineLevel="0" collapsed="false">
      <c r="A10" s="11" t="s">
        <v>3</v>
      </c>
      <c r="B10" s="11" t="s">
        <v>44</v>
      </c>
      <c r="C10" s="12" t="n">
        <v>138159</v>
      </c>
      <c r="D10" s="12" t="n">
        <v>138688</v>
      </c>
      <c r="E10" s="13" t="n">
        <f aca="false">C10/Settings!$B$3/86400</f>
        <v>0.0533020833333333</v>
      </c>
      <c r="F10" s="13" t="n">
        <f aca="false">D10/Settings!$B$3/86400</f>
        <v>0.0535061728395062</v>
      </c>
      <c r="G10" s="14" t="n">
        <f aca="false">(D10-C10+1)/Settings!$B$3</f>
        <v>17.6666666666667</v>
      </c>
      <c r="H10" s="15" t="n">
        <v>3.46</v>
      </c>
      <c r="I10" s="15" t="n">
        <f aca="false">H10/G10</f>
        <v>0.195849056603774</v>
      </c>
      <c r="J10" s="14" t="n">
        <v>91.8</v>
      </c>
      <c r="K10" s="11" t="str">
        <f aca="false">IF(AND(H10&gt;=Settings!$B$11,G10&gt;=Settings!$B$12),"High",IF(H10&gt;=Settings!$B$13,"Medium","Low"))</f>
        <v>High</v>
      </c>
      <c r="L10" s="11" t="s">
        <v>36</v>
      </c>
      <c r="M10" s="16"/>
      <c r="N10" s="16"/>
      <c r="O10" s="16"/>
    </row>
    <row r="11" customFormat="false" ht="15" hidden="false" customHeight="false" outlineLevel="0" collapsed="false">
      <c r="A11" s="11" t="s">
        <v>3</v>
      </c>
      <c r="B11" s="11" t="s">
        <v>45</v>
      </c>
      <c r="C11" s="12" t="n">
        <v>139236</v>
      </c>
      <c r="D11" s="12" t="n">
        <v>139479</v>
      </c>
      <c r="E11" s="13" t="n">
        <f aca="false">C11/Settings!$B$3/86400</f>
        <v>0.0537175925925926</v>
      </c>
      <c r="F11" s="13" t="n">
        <f aca="false">D11/Settings!$B$3/86400</f>
        <v>0.0538113425925926</v>
      </c>
      <c r="G11" s="14" t="n">
        <f aca="false">(D11-C11+1)/Settings!$B$3</f>
        <v>8.13333333333333</v>
      </c>
      <c r="H11" s="15" t="n">
        <v>1.86</v>
      </c>
      <c r="I11" s="15" t="n">
        <f aca="false">H11/G11</f>
        <v>0.228688524590164</v>
      </c>
      <c r="J11" s="14" t="n">
        <v>96.1</v>
      </c>
      <c r="K11" s="11" t="str">
        <f aca="false">IF(AND(H11&gt;=Settings!$B$11,G11&gt;=Settings!$B$12),"High",IF(H11&gt;=Settings!$B$13,"Medium","Low"))</f>
        <v>High</v>
      </c>
      <c r="L11" s="11" t="s">
        <v>36</v>
      </c>
      <c r="M11" s="16"/>
      <c r="N11" s="16"/>
      <c r="O11" s="16"/>
    </row>
    <row r="12" customFormat="false" ht="15" hidden="false" customHeight="false" outlineLevel="0" collapsed="false">
      <c r="A12" s="11" t="s">
        <v>3</v>
      </c>
      <c r="B12" s="11" t="s">
        <v>46</v>
      </c>
      <c r="C12" s="12" t="n">
        <v>178852</v>
      </c>
      <c r="D12" s="12" t="n">
        <v>179220</v>
      </c>
      <c r="E12" s="13" t="n">
        <f aca="false">C12/Settings!$B$3/86400</f>
        <v>0.0690015432098766</v>
      </c>
      <c r="F12" s="13" t="n">
        <f aca="false">D12/Settings!$B$3/86400</f>
        <v>0.0691435185185185</v>
      </c>
      <c r="G12" s="14" t="n">
        <f aca="false">(D12-C12+1)/Settings!$B$3</f>
        <v>12.3</v>
      </c>
      <c r="H12" s="15" t="n">
        <v>1.91</v>
      </c>
      <c r="I12" s="15" t="n">
        <f aca="false">H12/G12</f>
        <v>0.155284552845528</v>
      </c>
      <c r="J12" s="14" t="n">
        <v>98.5</v>
      </c>
      <c r="K12" s="11" t="str">
        <f aca="false">IF(AND(H12&gt;=Settings!$B$11,G12&gt;=Settings!$B$12),"High",IF(H12&gt;=Settings!$B$13,"Medium","Low"))</f>
        <v>High</v>
      </c>
      <c r="L12" s="11" t="s">
        <v>36</v>
      </c>
      <c r="M12" s="16"/>
      <c r="N12" s="16"/>
      <c r="O12" s="16"/>
    </row>
    <row r="13" customFormat="false" ht="15" hidden="false" customHeight="false" outlineLevel="0" collapsed="false">
      <c r="A13" s="11" t="s">
        <v>3</v>
      </c>
      <c r="B13" s="11" t="s">
        <v>47</v>
      </c>
      <c r="C13" s="12" t="n">
        <v>180814</v>
      </c>
      <c r="D13" s="12" t="n">
        <v>181582</v>
      </c>
      <c r="E13" s="13" t="n">
        <f aca="false">C13/Settings!$B$3/86400</f>
        <v>0.069758487654321</v>
      </c>
      <c r="F13" s="13" t="n">
        <f aca="false">D13/Settings!$B$3/86400</f>
        <v>0.0700547839506173</v>
      </c>
      <c r="G13" s="14" t="n">
        <f aca="false">(D13-C13+1)/Settings!$B$3</f>
        <v>25.6333333333333</v>
      </c>
      <c r="H13" s="15" t="n">
        <v>4.62</v>
      </c>
      <c r="I13" s="15" t="n">
        <f aca="false">H13/G13</f>
        <v>0.180234070221066</v>
      </c>
      <c r="J13" s="14" t="n">
        <v>84.2</v>
      </c>
      <c r="K13" s="11" t="str">
        <f aca="false">IF(AND(H13&gt;=Settings!$B$11,G13&gt;=Settings!$B$12),"High",IF(H13&gt;=Settings!$B$13,"Medium","Low"))</f>
        <v>High</v>
      </c>
      <c r="L13" s="11" t="s">
        <v>36</v>
      </c>
      <c r="M13" s="16"/>
      <c r="N13" s="16"/>
      <c r="O13" s="16"/>
    </row>
    <row r="14" customFormat="false" ht="15" hidden="false" customHeight="false" outlineLevel="0" collapsed="false">
      <c r="A14" s="11" t="s">
        <v>3</v>
      </c>
      <c r="B14" s="11" t="s">
        <v>48</v>
      </c>
      <c r="C14" s="12" t="n">
        <v>183826</v>
      </c>
      <c r="D14" s="12" t="n">
        <v>185488</v>
      </c>
      <c r="E14" s="13" t="n">
        <f aca="false">C14/Settings!$B$3/86400</f>
        <v>0.070920524691358</v>
      </c>
      <c r="F14" s="13" t="n">
        <f aca="false">D14/Settings!$B$3/86400</f>
        <v>0.0715617283950617</v>
      </c>
      <c r="G14" s="14" t="n">
        <f aca="false">(D14-C14+1)/Settings!$B$3</f>
        <v>55.4333333333333</v>
      </c>
      <c r="H14" s="15" t="n">
        <v>11.82</v>
      </c>
      <c r="I14" s="15" t="n">
        <f aca="false">H14/G14</f>
        <v>0.213229104028864</v>
      </c>
      <c r="J14" s="14" t="n">
        <v>81.2</v>
      </c>
      <c r="K14" s="11" t="str">
        <f aca="false">IF(AND(H14&gt;=Settings!$B$11,G14&gt;=Settings!$B$12),"High",IF(H14&gt;=Settings!$B$13,"Medium","Low"))</f>
        <v>High</v>
      </c>
      <c r="L14" s="11" t="s">
        <v>36</v>
      </c>
      <c r="M14" s="16"/>
      <c r="N14" s="16"/>
      <c r="O14" s="16"/>
    </row>
    <row r="15" customFormat="false" ht="15" hidden="false" customHeight="false" outlineLevel="0" collapsed="false">
      <c r="A15" s="11" t="s">
        <v>3</v>
      </c>
      <c r="B15" s="11" t="s">
        <v>49</v>
      </c>
      <c r="C15" s="12" t="n">
        <v>189149</v>
      </c>
      <c r="D15" s="12" t="n">
        <v>189705</v>
      </c>
      <c r="E15" s="13" t="n">
        <f aca="false">C15/Settings!$B$3/86400</f>
        <v>0.0729741512345679</v>
      </c>
      <c r="F15" s="13" t="n">
        <f aca="false">D15/Settings!$B$3/86400</f>
        <v>0.0731886574074074</v>
      </c>
      <c r="G15" s="14" t="n">
        <f aca="false">(D15-C15+1)/Settings!$B$3</f>
        <v>18.5666666666667</v>
      </c>
      <c r="H15" s="15" t="n">
        <v>3.84</v>
      </c>
      <c r="I15" s="15" t="n">
        <f aca="false">H15/G15</f>
        <v>0.206822262118492</v>
      </c>
      <c r="J15" s="14" t="n">
        <v>97.2</v>
      </c>
      <c r="K15" s="11" t="str">
        <f aca="false">IF(AND(H15&gt;=Settings!$B$11,G15&gt;=Settings!$B$12),"High",IF(H15&gt;=Settings!$B$13,"Medium","Low"))</f>
        <v>High</v>
      </c>
      <c r="L15" s="11" t="s">
        <v>36</v>
      </c>
      <c r="M15" s="16"/>
      <c r="N15" s="16"/>
      <c r="O15" s="16"/>
    </row>
    <row r="16" customFormat="false" ht="15" hidden="false" customHeight="false" outlineLevel="0" collapsed="false">
      <c r="A16" s="11" t="s">
        <v>3</v>
      </c>
      <c r="B16" s="11" t="s">
        <v>50</v>
      </c>
      <c r="C16" s="12" t="n">
        <v>210496</v>
      </c>
      <c r="D16" s="12" t="n">
        <v>210641</v>
      </c>
      <c r="E16" s="13" t="n">
        <f aca="false">C16/Settings!$B$3/86400</f>
        <v>0.0812098765432099</v>
      </c>
      <c r="F16" s="13" t="n">
        <f aca="false">D16/Settings!$B$3/86400</f>
        <v>0.0812658179012346</v>
      </c>
      <c r="G16" s="14" t="n">
        <f aca="false">(D16-C16+1)/Settings!$B$3</f>
        <v>4.86666666666667</v>
      </c>
      <c r="H16" s="15" t="n">
        <v>0.83</v>
      </c>
      <c r="I16" s="15" t="n">
        <f aca="false">H16/G16</f>
        <v>0.170547945205479</v>
      </c>
      <c r="J16" s="14" t="n">
        <v>72.9</v>
      </c>
      <c r="K16" s="11" t="str">
        <f aca="false">IF(AND(H16&gt;=Settings!$B$11,G16&gt;=Settings!$B$12),"High",IF(H16&gt;=Settings!$B$13,"Medium","Low"))</f>
        <v>Low</v>
      </c>
      <c r="L16" s="11" t="s">
        <v>36</v>
      </c>
      <c r="M16" s="16"/>
      <c r="N16" s="16"/>
      <c r="O16" s="16"/>
    </row>
    <row r="17" customFormat="false" ht="15" hidden="false" customHeight="false" outlineLevel="0" collapsed="false">
      <c r="A17" s="11" t="s">
        <v>3</v>
      </c>
      <c r="B17" s="11" t="s">
        <v>51</v>
      </c>
      <c r="C17" s="12" t="n">
        <v>212831</v>
      </c>
      <c r="D17" s="12" t="n">
        <v>213004</v>
      </c>
      <c r="E17" s="13" t="n">
        <f aca="false">C17/Settings!$B$3/86400</f>
        <v>0.082110725308642</v>
      </c>
      <c r="F17" s="13" t="n">
        <f aca="false">D17/Settings!$B$3/86400</f>
        <v>0.0821774691358025</v>
      </c>
      <c r="G17" s="14" t="n">
        <f aca="false">(D17-C17+1)/Settings!$B$3</f>
        <v>5.8</v>
      </c>
      <c r="H17" s="15" t="n">
        <v>1.19</v>
      </c>
      <c r="I17" s="15" t="n">
        <f aca="false">H17/G17</f>
        <v>0.205172413793103</v>
      </c>
      <c r="J17" s="14" t="n">
        <v>98.3</v>
      </c>
      <c r="K17" s="11" t="str">
        <f aca="false">IF(AND(H17&gt;=Settings!$B$11,G17&gt;=Settings!$B$12),"High",IF(H17&gt;=Settings!$B$13,"Medium","Low"))</f>
        <v>Medium</v>
      </c>
      <c r="L17" s="11" t="s">
        <v>36</v>
      </c>
      <c r="M17" s="16"/>
      <c r="N17" s="16"/>
      <c r="O17" s="16"/>
    </row>
    <row r="18" customFormat="false" ht="15" hidden="false" customHeight="false" outlineLevel="0" collapsed="false">
      <c r="A18" s="11" t="s">
        <v>3</v>
      </c>
      <c r="B18" s="11" t="s">
        <v>52</v>
      </c>
      <c r="C18" s="12" t="n">
        <v>214591</v>
      </c>
      <c r="D18" s="12" t="n">
        <v>215157</v>
      </c>
      <c r="E18" s="13" t="n">
        <f aca="false">C18/Settings!$B$3/86400</f>
        <v>0.082789737654321</v>
      </c>
      <c r="F18" s="13" t="n">
        <f aca="false">D18/Settings!$B$3/86400</f>
        <v>0.0830081018518519</v>
      </c>
      <c r="G18" s="14" t="n">
        <f aca="false">(D18-C18+1)/Settings!$B$3</f>
        <v>18.9</v>
      </c>
      <c r="H18" s="15" t="n">
        <v>4.09</v>
      </c>
      <c r="I18" s="15" t="n">
        <f aca="false">H18/G18</f>
        <v>0.216402116402116</v>
      </c>
      <c r="J18" s="14" t="n">
        <v>88.8</v>
      </c>
      <c r="K18" s="11" t="str">
        <f aca="false">IF(AND(H18&gt;=Settings!$B$11,G18&gt;=Settings!$B$12),"High",IF(H18&gt;=Settings!$B$13,"Medium","Low"))</f>
        <v>High</v>
      </c>
      <c r="L18" s="11" t="s">
        <v>36</v>
      </c>
      <c r="M18" s="16"/>
      <c r="N18" s="16"/>
      <c r="O18" s="16"/>
    </row>
    <row r="19" customFormat="false" ht="15" hidden="false" customHeight="false" outlineLevel="0" collapsed="false">
      <c r="A19" s="11" t="s">
        <v>3</v>
      </c>
      <c r="B19" s="11" t="s">
        <v>53</v>
      </c>
      <c r="C19" s="12" t="n">
        <v>216987</v>
      </c>
      <c r="D19" s="12" t="n">
        <v>217110</v>
      </c>
      <c r="E19" s="13" t="n">
        <f aca="false">C19/Settings!$B$3/86400</f>
        <v>0.0837141203703704</v>
      </c>
      <c r="F19" s="13" t="n">
        <f aca="false">D19/Settings!$B$3/86400</f>
        <v>0.0837615740740741</v>
      </c>
      <c r="G19" s="14" t="n">
        <f aca="false">(D19-C19+1)/Settings!$B$3</f>
        <v>4.13333333333333</v>
      </c>
      <c r="H19" s="15" t="n">
        <v>0.71</v>
      </c>
      <c r="I19" s="15" t="n">
        <f aca="false">H19/G19</f>
        <v>0.171774193548387</v>
      </c>
      <c r="J19" s="14" t="n">
        <v>86.3</v>
      </c>
      <c r="K19" s="11" t="str">
        <f aca="false">IF(AND(H19&gt;=Settings!$B$11,G19&gt;=Settings!$B$12),"High",IF(H19&gt;=Settings!$B$13,"Medium","Low"))</f>
        <v>Low</v>
      </c>
      <c r="L19" s="11" t="s">
        <v>36</v>
      </c>
      <c r="M19" s="16"/>
      <c r="N19" s="16"/>
      <c r="O19" s="16"/>
    </row>
    <row r="20" customFormat="false" ht="15" hidden="false" customHeight="false" outlineLevel="0" collapsed="false">
      <c r="A20" s="11" t="s">
        <v>3</v>
      </c>
      <c r="B20" s="11" t="s">
        <v>54</v>
      </c>
      <c r="C20" s="12" t="n">
        <v>219074</v>
      </c>
      <c r="D20" s="12" t="n">
        <v>219989</v>
      </c>
      <c r="E20" s="13" t="n">
        <f aca="false">C20/Settings!$B$3/86400</f>
        <v>0.0845192901234568</v>
      </c>
      <c r="F20" s="13" t="n">
        <f aca="false">D20/Settings!$B$3/86400</f>
        <v>0.084872299382716</v>
      </c>
      <c r="G20" s="14" t="n">
        <f aca="false">(D20-C20+1)/Settings!$B$3</f>
        <v>30.5333333333333</v>
      </c>
      <c r="H20" s="15" t="n">
        <v>5.97</v>
      </c>
      <c r="I20" s="15" t="n">
        <f aca="false">H20/G20</f>
        <v>0.195524017467249</v>
      </c>
      <c r="J20" s="14" t="n">
        <v>87.2</v>
      </c>
      <c r="K20" s="11" t="str">
        <f aca="false">IF(AND(H20&gt;=Settings!$B$11,G20&gt;=Settings!$B$12),"High",IF(H20&gt;=Settings!$B$13,"Medium","Low"))</f>
        <v>High</v>
      </c>
      <c r="L20" s="11" t="s">
        <v>36</v>
      </c>
      <c r="M20" s="16"/>
      <c r="N20" s="16"/>
      <c r="O20" s="16"/>
    </row>
    <row r="21" customFormat="false" ht="15" hidden="false" customHeight="false" outlineLevel="0" collapsed="false">
      <c r="A21" s="11" t="s">
        <v>3</v>
      </c>
      <c r="B21" s="11" t="s">
        <v>55</v>
      </c>
      <c r="C21" s="12" t="n">
        <v>246907</v>
      </c>
      <c r="D21" s="12" t="n">
        <v>247523</v>
      </c>
      <c r="E21" s="13" t="n">
        <f aca="false">C21/Settings!$B$3/86400</f>
        <v>0.0952573302469136</v>
      </c>
      <c r="F21" s="13" t="n">
        <f aca="false">D21/Settings!$B$3/86400</f>
        <v>0.0954949845679012</v>
      </c>
      <c r="G21" s="14" t="n">
        <f aca="false">(D21-C21+1)/Settings!$B$3</f>
        <v>20.5666666666667</v>
      </c>
      <c r="H21" s="15" t="n">
        <v>4.76</v>
      </c>
      <c r="I21" s="15" t="n">
        <f aca="false">H21/G21</f>
        <v>0.231442463533225</v>
      </c>
      <c r="J21" s="14" t="n">
        <v>89.7</v>
      </c>
      <c r="K21" s="11" t="str">
        <f aca="false">IF(AND(H21&gt;=Settings!$B$11,G21&gt;=Settings!$B$12),"High",IF(H21&gt;=Settings!$B$13,"Medium","Low"))</f>
        <v>High</v>
      </c>
      <c r="L21" s="11" t="s">
        <v>36</v>
      </c>
      <c r="M21" s="16"/>
      <c r="N21" s="16"/>
      <c r="O21" s="16"/>
    </row>
    <row r="22" customFormat="false" ht="15" hidden="false" customHeight="false" outlineLevel="0" collapsed="false">
      <c r="A22" s="11" t="s">
        <v>3</v>
      </c>
      <c r="B22" s="11" t="s">
        <v>56</v>
      </c>
      <c r="C22" s="12" t="n">
        <v>247645</v>
      </c>
      <c r="D22" s="12" t="n">
        <v>248839</v>
      </c>
      <c r="E22" s="13" t="n">
        <f aca="false">C22/Settings!$B$3/86400</f>
        <v>0.0955420524691358</v>
      </c>
      <c r="F22" s="13" t="n">
        <f aca="false">D22/Settings!$B$3/86400</f>
        <v>0.0960027006172839</v>
      </c>
      <c r="G22" s="14" t="n">
        <f aca="false">(D22-C22+1)/Settings!$B$3</f>
        <v>39.8333333333333</v>
      </c>
      <c r="H22" s="15" t="n">
        <v>8.08</v>
      </c>
      <c r="I22" s="15" t="n">
        <f aca="false">H22/G22</f>
        <v>0.202845188284519</v>
      </c>
      <c r="J22" s="14" t="n">
        <v>81.7</v>
      </c>
      <c r="K22" s="11" t="str">
        <f aca="false">IF(AND(H22&gt;=Settings!$B$11,G22&gt;=Settings!$B$12),"High",IF(H22&gt;=Settings!$B$13,"Medium","Low"))</f>
        <v>High</v>
      </c>
      <c r="L22" s="11" t="s">
        <v>36</v>
      </c>
      <c r="M22" s="16"/>
      <c r="N22" s="16"/>
      <c r="O22" s="16"/>
    </row>
    <row r="23" customFormat="false" ht="15" hidden="false" customHeight="false" outlineLevel="0" collapsed="false">
      <c r="A23" s="11" t="s">
        <v>3</v>
      </c>
      <c r="B23" s="11" t="s">
        <v>57</v>
      </c>
      <c r="C23" s="12" t="n">
        <v>255405</v>
      </c>
      <c r="D23" s="12" t="n">
        <v>255563</v>
      </c>
      <c r="E23" s="13" t="n">
        <f aca="false">C23/Settings!$B$3/86400</f>
        <v>0.0985358796296296</v>
      </c>
      <c r="F23" s="13" t="n">
        <f aca="false">D23/Settings!$B$3/86400</f>
        <v>0.0985968364197531</v>
      </c>
      <c r="G23" s="14" t="n">
        <f aca="false">(D23-C23+1)/Settings!$B$3</f>
        <v>5.3</v>
      </c>
      <c r="H23" s="15" t="n">
        <v>0.9</v>
      </c>
      <c r="I23" s="15" t="n">
        <f aca="false">H23/G23</f>
        <v>0.169811320754717</v>
      </c>
      <c r="J23" s="14" t="n">
        <v>76.8</v>
      </c>
      <c r="K23" s="11" t="str">
        <f aca="false">IF(AND(H23&gt;=Settings!$B$11,G23&gt;=Settings!$B$12),"High",IF(H23&gt;=Settings!$B$13,"Medium","Low"))</f>
        <v>Low</v>
      </c>
      <c r="L23" s="11" t="s">
        <v>36</v>
      </c>
      <c r="M23" s="16"/>
      <c r="N23" s="16"/>
      <c r="O23" s="16"/>
    </row>
    <row r="24" customFormat="false" ht="15" hidden="false" customHeight="false" outlineLevel="0" collapsed="false">
      <c r="A24" s="11" t="s">
        <v>3</v>
      </c>
      <c r="B24" s="11" t="s">
        <v>58</v>
      </c>
      <c r="C24" s="12" t="n">
        <v>255716</v>
      </c>
      <c r="D24" s="12" t="n">
        <v>256136</v>
      </c>
      <c r="E24" s="13" t="n">
        <f aca="false">C24/Settings!$B$3/86400</f>
        <v>0.0986558641975309</v>
      </c>
      <c r="F24" s="13" t="n">
        <f aca="false">D24/Settings!$B$3/86400</f>
        <v>0.0988179012345679</v>
      </c>
      <c r="G24" s="14" t="n">
        <f aca="false">(D24-C24+1)/Settings!$B$3</f>
        <v>14.0333333333333</v>
      </c>
      <c r="H24" s="15" t="n">
        <v>2.99</v>
      </c>
      <c r="I24" s="15" t="n">
        <f aca="false">H24/G24</f>
        <v>0.213064133016627</v>
      </c>
      <c r="J24" s="14" t="n">
        <v>101.4</v>
      </c>
      <c r="K24" s="11" t="str">
        <f aca="false">IF(AND(H24&gt;=Settings!$B$11,G24&gt;=Settings!$B$12),"High",IF(H24&gt;=Settings!$B$13,"Medium","Low"))</f>
        <v>High</v>
      </c>
      <c r="L24" s="11" t="s">
        <v>36</v>
      </c>
      <c r="M24" s="16"/>
      <c r="N24" s="16"/>
      <c r="O24" s="16"/>
    </row>
    <row r="25" customFormat="false" ht="15" hidden="false" customHeight="false" outlineLevel="0" collapsed="false">
      <c r="A25" s="11" t="s">
        <v>3</v>
      </c>
      <c r="B25" s="11" t="s">
        <v>59</v>
      </c>
      <c r="C25" s="12" t="n">
        <v>262865</v>
      </c>
      <c r="D25" s="12" t="n">
        <v>263222</v>
      </c>
      <c r="E25" s="13" t="n">
        <f aca="false">C25/Settings!$B$3/86400</f>
        <v>0.101413966049383</v>
      </c>
      <c r="F25" s="13" t="n">
        <f aca="false">D25/Settings!$B$3/86400</f>
        <v>0.101551697530864</v>
      </c>
      <c r="G25" s="14" t="n">
        <f aca="false">(D25-C25+1)/Settings!$B$3</f>
        <v>11.9333333333333</v>
      </c>
      <c r="H25" s="15" t="n">
        <v>2.92</v>
      </c>
      <c r="I25" s="15" t="n">
        <f aca="false">H25/G25</f>
        <v>0.244692737430168</v>
      </c>
      <c r="J25" s="14" t="n">
        <v>94.2</v>
      </c>
      <c r="K25" s="11" t="str">
        <f aca="false">IF(AND(H25&gt;=Settings!$B$11,G25&gt;=Settings!$B$12),"High",IF(H25&gt;=Settings!$B$13,"Medium","Low"))</f>
        <v>High</v>
      </c>
      <c r="L25" s="11" t="s">
        <v>36</v>
      </c>
      <c r="M25" s="16"/>
      <c r="N25" s="16"/>
      <c r="O25" s="16"/>
    </row>
    <row r="26" customFormat="false" ht="15" hidden="false" customHeight="false" outlineLevel="0" collapsed="false">
      <c r="A26" s="11" t="s">
        <v>3</v>
      </c>
      <c r="B26" s="11" t="s">
        <v>60</v>
      </c>
      <c r="C26" s="12" t="n">
        <v>263417</v>
      </c>
      <c r="D26" s="12" t="n">
        <v>263685</v>
      </c>
      <c r="E26" s="13" t="n">
        <f aca="false">C26/Settings!$B$3/86400</f>
        <v>0.101626929012346</v>
      </c>
      <c r="F26" s="13" t="n">
        <f aca="false">D26/Settings!$B$3/86400</f>
        <v>0.101730324074074</v>
      </c>
      <c r="G26" s="14" t="n">
        <f aca="false">(D26-C26+1)/Settings!$B$3</f>
        <v>8.96666666666667</v>
      </c>
      <c r="H26" s="15" t="n">
        <v>1.69</v>
      </c>
      <c r="I26" s="15" t="n">
        <f aca="false">H26/G26</f>
        <v>0.188475836431227</v>
      </c>
      <c r="J26" s="14" t="n">
        <v>87</v>
      </c>
      <c r="K26" s="11" t="str">
        <f aca="false">IF(AND(H26&gt;=Settings!$B$11,G26&gt;=Settings!$B$12),"High",IF(H26&gt;=Settings!$B$13,"Medium","Low"))</f>
        <v>High</v>
      </c>
      <c r="L26" s="11" t="s">
        <v>36</v>
      </c>
      <c r="M26" s="16"/>
      <c r="N26" s="16"/>
      <c r="O26" s="16"/>
    </row>
    <row r="27" customFormat="false" ht="15" hidden="false" customHeight="false" outlineLevel="0" collapsed="false">
      <c r="A27" s="11" t="s">
        <v>3</v>
      </c>
      <c r="B27" s="11" t="s">
        <v>61</v>
      </c>
      <c r="C27" s="12" t="n">
        <v>263837</v>
      </c>
      <c r="D27" s="12" t="n">
        <v>263931</v>
      </c>
      <c r="E27" s="13" t="n">
        <f aca="false">C27/Settings!$B$3/86400</f>
        <v>0.101788966049383</v>
      </c>
      <c r="F27" s="13" t="n">
        <f aca="false">D27/Settings!$B$3/86400</f>
        <v>0.101825231481482</v>
      </c>
      <c r="G27" s="14" t="n">
        <f aca="false">(D27-C27+1)/Settings!$B$3</f>
        <v>3.16666666666667</v>
      </c>
      <c r="H27" s="15" t="n">
        <v>1.12</v>
      </c>
      <c r="I27" s="15" t="n">
        <f aca="false">H27/G27</f>
        <v>0.353684210526316</v>
      </c>
      <c r="J27" s="14" t="n">
        <v>108.7</v>
      </c>
      <c r="K27" s="11" t="str">
        <f aca="false">IF(AND(H27&gt;=Settings!$B$11,G27&gt;=Settings!$B$12),"High",IF(H27&gt;=Settings!$B$13,"Medium","Low"))</f>
        <v>Medium</v>
      </c>
      <c r="L27" s="11" t="s">
        <v>36</v>
      </c>
      <c r="M27" s="16"/>
      <c r="N27" s="16"/>
      <c r="O27" s="16"/>
    </row>
    <row r="28" customFormat="false" ht="15" hidden="false" customHeight="false" outlineLevel="0" collapsed="false">
      <c r="A28" s="11" t="s">
        <v>3</v>
      </c>
      <c r="B28" s="11" t="s">
        <v>62</v>
      </c>
      <c r="C28" s="12" t="n">
        <v>264707</v>
      </c>
      <c r="D28" s="12" t="n">
        <v>265093</v>
      </c>
      <c r="E28" s="13" t="n">
        <f aca="false">C28/Settings!$B$3/86400</f>
        <v>0.102124614197531</v>
      </c>
      <c r="F28" s="13" t="n">
        <f aca="false">D28/Settings!$B$3/86400</f>
        <v>0.102273533950617</v>
      </c>
      <c r="G28" s="14" t="n">
        <f aca="false">(D28-C28+1)/Settings!$B$3</f>
        <v>12.9</v>
      </c>
      <c r="H28" s="15" t="n">
        <v>0.74</v>
      </c>
      <c r="I28" s="15" t="n">
        <f aca="false">H28/G28</f>
        <v>0.0573643410852713</v>
      </c>
      <c r="J28" s="14" t="n">
        <v>83.3</v>
      </c>
      <c r="K28" s="11" t="str">
        <f aca="false">IF(AND(H28&gt;=Settings!$B$11,G28&gt;=Settings!$B$12),"High",IF(H28&gt;=Settings!$B$13,"Medium","Low"))</f>
        <v>Low</v>
      </c>
      <c r="L28" s="11" t="s">
        <v>36</v>
      </c>
      <c r="M28" s="16"/>
      <c r="N28" s="16"/>
      <c r="O28" s="16"/>
    </row>
    <row r="29" customFormat="false" ht="15" hidden="false" customHeight="false" outlineLevel="0" collapsed="false">
      <c r="A29" s="11" t="s">
        <v>3</v>
      </c>
      <c r="B29" s="11" t="s">
        <v>63</v>
      </c>
      <c r="C29" s="12" t="n">
        <v>265512</v>
      </c>
      <c r="D29" s="12" t="n">
        <v>266227</v>
      </c>
      <c r="E29" s="13" t="n">
        <f aca="false">C29/Settings!$B$3/86400</f>
        <v>0.102435185185185</v>
      </c>
      <c r="F29" s="13" t="n">
        <f aca="false">D29/Settings!$B$3/86400</f>
        <v>0.102711033950617</v>
      </c>
      <c r="G29" s="14" t="n">
        <f aca="false">(D29-C29+1)/Settings!$B$3</f>
        <v>23.8666666666667</v>
      </c>
      <c r="H29" s="15" t="n">
        <v>5.51</v>
      </c>
      <c r="I29" s="15" t="n">
        <f aca="false">H29/G29</f>
        <v>0.230865921787709</v>
      </c>
      <c r="J29" s="14" t="n">
        <v>79.3</v>
      </c>
      <c r="K29" s="11" t="str">
        <f aca="false">IF(AND(H29&gt;=Settings!$B$11,G29&gt;=Settings!$B$12),"High",IF(H29&gt;=Settings!$B$13,"Medium","Low"))</f>
        <v>High</v>
      </c>
      <c r="L29" s="17" t="s">
        <v>64</v>
      </c>
      <c r="M29" s="16"/>
      <c r="N29" s="16"/>
      <c r="O29" s="16"/>
    </row>
    <row r="30" customFormat="false" ht="15" hidden="false" customHeight="false" outlineLevel="0" collapsed="false">
      <c r="A30" s="11" t="s">
        <v>3</v>
      </c>
      <c r="B30" s="11" t="s">
        <v>65</v>
      </c>
      <c r="C30" s="12" t="n">
        <v>266797</v>
      </c>
      <c r="D30" s="12" t="n">
        <v>267041</v>
      </c>
      <c r="E30" s="13" t="n">
        <f aca="false">C30/Settings!$B$3/86400</f>
        <v>0.102930941358025</v>
      </c>
      <c r="F30" s="13" t="n">
        <f aca="false">D30/Settings!$B$3/86400</f>
        <v>0.103025077160494</v>
      </c>
      <c r="G30" s="14" t="n">
        <f aca="false">(D30-C30+1)/Settings!$B$3</f>
        <v>8.16666666666667</v>
      </c>
      <c r="H30" s="15" t="n">
        <v>2.05</v>
      </c>
      <c r="I30" s="15" t="n">
        <f aca="false">H30/G30</f>
        <v>0.251020408163265</v>
      </c>
      <c r="J30" s="14" t="n">
        <v>85.3</v>
      </c>
      <c r="K30" s="11" t="str">
        <f aca="false">IF(AND(H30&gt;=Settings!$B$11,G30&gt;=Settings!$B$12),"High",IF(H30&gt;=Settings!$B$13,"Medium","Low"))</f>
        <v>High</v>
      </c>
      <c r="L30" s="17" t="s">
        <v>66</v>
      </c>
      <c r="M30" s="16"/>
      <c r="N30" s="16"/>
      <c r="O30" s="16"/>
    </row>
    <row r="31" customFormat="false" ht="15" hidden="false" customHeight="false" outlineLevel="0" collapsed="false">
      <c r="A31" s="11" t="s">
        <v>3</v>
      </c>
      <c r="B31" s="11" t="s">
        <v>67</v>
      </c>
      <c r="C31" s="12" t="n">
        <v>267239</v>
      </c>
      <c r="D31" s="12" t="n">
        <v>267823</v>
      </c>
      <c r="E31" s="13" t="n">
        <f aca="false">C31/Settings!$B$3/86400</f>
        <v>0.103101466049383</v>
      </c>
      <c r="F31" s="13" t="n">
        <f aca="false">D31/Settings!$B$3/86400</f>
        <v>0.103326774691358</v>
      </c>
      <c r="G31" s="14" t="n">
        <f aca="false">(D31-C31+1)/Settings!$B$3</f>
        <v>19.5</v>
      </c>
      <c r="H31" s="15" t="n">
        <v>4.35</v>
      </c>
      <c r="I31" s="15" t="n">
        <f aca="false">H31/G31</f>
        <v>0.223076923076923</v>
      </c>
      <c r="J31" s="14" t="n">
        <v>91.2</v>
      </c>
      <c r="K31" s="11" t="str">
        <f aca="false">IF(AND(H31&gt;=Settings!$B$11,G31&gt;=Settings!$B$12),"High",IF(H31&gt;=Settings!$B$13,"Medium","Low"))</f>
        <v>High</v>
      </c>
      <c r="L31" s="17" t="s">
        <v>68</v>
      </c>
      <c r="M31" s="16"/>
      <c r="N31" s="16"/>
      <c r="O31" s="16"/>
    </row>
    <row r="32" customFormat="false" ht="15" hidden="false" customHeight="false" outlineLevel="0" collapsed="false">
      <c r="A32" s="11" t="s">
        <v>3</v>
      </c>
      <c r="B32" s="11" t="s">
        <v>69</v>
      </c>
      <c r="C32" s="12" t="n">
        <v>269068</v>
      </c>
      <c r="D32" s="12" t="n">
        <v>271828</v>
      </c>
      <c r="E32" s="13" t="n">
        <f aca="false">C32/Settings!$B$3/86400</f>
        <v>0.103807098765432</v>
      </c>
      <c r="F32" s="13" t="n">
        <f aca="false">D32/Settings!$B$3/86400</f>
        <v>0.104871913580247</v>
      </c>
      <c r="G32" s="14" t="n">
        <f aca="false">(D32-C32+1)/Settings!$B$3</f>
        <v>92.0333333333333</v>
      </c>
      <c r="H32" s="15" t="n">
        <v>12.99</v>
      </c>
      <c r="I32" s="15" t="n">
        <f aca="false">H32/G32</f>
        <v>0.14114451285766</v>
      </c>
      <c r="J32" s="14" t="n">
        <v>81.9</v>
      </c>
      <c r="K32" s="11" t="str">
        <f aca="false">IF(AND(H32&gt;=Settings!$B$11,G32&gt;=Settings!$B$12),"High",IF(H32&gt;=Settings!$B$13,"Medium","Low"))</f>
        <v>High</v>
      </c>
      <c r="L32" s="17" t="s">
        <v>70</v>
      </c>
      <c r="M32" s="16"/>
      <c r="N32" s="16"/>
      <c r="O32" s="16"/>
    </row>
    <row r="33" customFormat="false" ht="15" hidden="false" customHeight="false" outlineLevel="0" collapsed="false">
      <c r="A33" s="11" t="s">
        <v>3</v>
      </c>
      <c r="B33" s="11" t="s">
        <v>71</v>
      </c>
      <c r="C33" s="12" t="n">
        <v>272248</v>
      </c>
      <c r="D33" s="12" t="n">
        <v>272940</v>
      </c>
      <c r="E33" s="13" t="n">
        <f aca="false">C33/Settings!$B$3/86400</f>
        <v>0.105033950617284</v>
      </c>
      <c r="F33" s="13" t="n">
        <f aca="false">D33/Settings!$B$3/86400</f>
        <v>0.105300925925926</v>
      </c>
      <c r="G33" s="14" t="n">
        <f aca="false">(D33-C33+1)/Settings!$B$3</f>
        <v>23.1</v>
      </c>
      <c r="H33" s="15" t="n">
        <v>3.07</v>
      </c>
      <c r="I33" s="15" t="n">
        <f aca="false">H33/G33</f>
        <v>0.132900432900433</v>
      </c>
      <c r="J33" s="14" t="n">
        <v>86.3</v>
      </c>
      <c r="K33" s="11" t="str">
        <f aca="false">IF(AND(H33&gt;=Settings!$B$11,G33&gt;=Settings!$B$12),"High",IF(H33&gt;=Settings!$B$13,"Medium","Low"))</f>
        <v>High</v>
      </c>
      <c r="L33" s="17" t="s">
        <v>72</v>
      </c>
      <c r="M33" s="16"/>
      <c r="N33" s="16"/>
      <c r="O33" s="16"/>
    </row>
    <row r="34" customFormat="false" ht="15" hidden="false" customHeight="false" outlineLevel="0" collapsed="false">
      <c r="A34" s="11" t="s">
        <v>3</v>
      </c>
      <c r="B34" s="11" t="s">
        <v>73</v>
      </c>
      <c r="C34" s="12" t="n">
        <v>273557</v>
      </c>
      <c r="D34" s="12" t="n">
        <v>274785</v>
      </c>
      <c r="E34" s="13" t="n">
        <f aca="false">C34/Settings!$B$3/86400</f>
        <v>0.105538966049383</v>
      </c>
      <c r="F34" s="13" t="n">
        <f aca="false">D34/Settings!$B$3/86400</f>
        <v>0.106012731481481</v>
      </c>
      <c r="G34" s="14" t="n">
        <f aca="false">(D34-C34+1)/Settings!$B$3</f>
        <v>40.9666666666667</v>
      </c>
      <c r="H34" s="15" t="n">
        <v>9.12</v>
      </c>
      <c r="I34" s="15" t="n">
        <f aca="false">H34/G34</f>
        <v>0.222620016273393</v>
      </c>
      <c r="J34" s="14" t="n">
        <v>80.8</v>
      </c>
      <c r="K34" s="11" t="str">
        <f aca="false">IF(AND(H34&gt;=Settings!$B$11,G34&gt;=Settings!$B$12),"High",IF(H34&gt;=Settings!$B$13,"Medium","Low"))</f>
        <v>High</v>
      </c>
      <c r="L34" s="17" t="s">
        <v>74</v>
      </c>
      <c r="M34" s="16"/>
      <c r="N34" s="16"/>
      <c r="O34" s="16"/>
    </row>
    <row r="35" customFormat="false" ht="15" hidden="false" customHeight="false" outlineLevel="0" collapsed="false">
      <c r="A35" s="11" t="s">
        <v>3</v>
      </c>
      <c r="B35" s="11" t="s">
        <v>75</v>
      </c>
      <c r="C35" s="12" t="n">
        <v>275054</v>
      </c>
      <c r="D35" s="12" t="n">
        <v>275181</v>
      </c>
      <c r="E35" s="13" t="n">
        <f aca="false">C35/Settings!$B$3/86400</f>
        <v>0.106116512345679</v>
      </c>
      <c r="F35" s="13" t="n">
        <f aca="false">D35/Settings!$B$3/86400</f>
        <v>0.106165509259259</v>
      </c>
      <c r="G35" s="14" t="n">
        <f aca="false">(D35-C35+1)/Settings!$B$3</f>
        <v>4.26666666666667</v>
      </c>
      <c r="H35" s="15" t="n">
        <v>0.94</v>
      </c>
      <c r="I35" s="15" t="n">
        <f aca="false">H35/G35</f>
        <v>0.2203125</v>
      </c>
      <c r="J35" s="14" t="n">
        <v>89.4</v>
      </c>
      <c r="K35" s="11" t="str">
        <f aca="false">IF(AND(H35&gt;=Settings!$B$11,G35&gt;=Settings!$B$12),"High",IF(H35&gt;=Settings!$B$13,"Medium","Low"))</f>
        <v>Low</v>
      </c>
      <c r="L35" s="17" t="s">
        <v>76</v>
      </c>
      <c r="M35" s="16"/>
      <c r="N35" s="16"/>
      <c r="O35" s="16"/>
    </row>
    <row r="36" customFormat="false" ht="15" hidden="false" customHeight="false" outlineLevel="0" collapsed="false">
      <c r="A36" s="11" t="s">
        <v>3</v>
      </c>
      <c r="B36" s="11" t="s">
        <v>77</v>
      </c>
      <c r="C36" s="12" t="n">
        <v>276443</v>
      </c>
      <c r="D36" s="12" t="n">
        <v>276533</v>
      </c>
      <c r="E36" s="13" t="n">
        <f aca="false">C36/Settings!$B$3/86400</f>
        <v>0.106652391975309</v>
      </c>
      <c r="F36" s="13" t="n">
        <f aca="false">D36/Settings!$B$3/86400</f>
        <v>0.106687114197531</v>
      </c>
      <c r="G36" s="14" t="n">
        <f aca="false">(D36-C36+1)/Settings!$B$3</f>
        <v>3.03333333333333</v>
      </c>
      <c r="H36" s="15" t="n">
        <v>0.83</v>
      </c>
      <c r="I36" s="15" t="n">
        <f aca="false">H36/G36</f>
        <v>0.273626373626374</v>
      </c>
      <c r="J36" s="14" t="n">
        <v>93.8</v>
      </c>
      <c r="K36" s="11" t="str">
        <f aca="false">IF(AND(H36&gt;=Settings!$B$11,G36&gt;=Settings!$B$12),"High",IF(H36&gt;=Settings!$B$13,"Medium","Low"))</f>
        <v>Low</v>
      </c>
      <c r="L36" s="17" t="s">
        <v>78</v>
      </c>
      <c r="M36" s="16"/>
      <c r="N36" s="16"/>
      <c r="O36" s="16"/>
    </row>
    <row r="37" customFormat="false" ht="15" hidden="false" customHeight="false" outlineLevel="0" collapsed="false">
      <c r="A37" s="11" t="s">
        <v>3</v>
      </c>
      <c r="B37" s="11" t="s">
        <v>79</v>
      </c>
      <c r="C37" s="12" t="n">
        <v>276785</v>
      </c>
      <c r="D37" s="12" t="n">
        <v>276899</v>
      </c>
      <c r="E37" s="13" t="n">
        <f aca="false">C37/Settings!$B$3/86400</f>
        <v>0.106784336419753</v>
      </c>
      <c r="F37" s="13" t="n">
        <f aca="false">D37/Settings!$B$3/86400</f>
        <v>0.106828317901235</v>
      </c>
      <c r="G37" s="14" t="n">
        <f aca="false">(D37-C37+1)/Settings!$B$3</f>
        <v>3.83333333333333</v>
      </c>
      <c r="H37" s="15" t="n">
        <v>0.98</v>
      </c>
      <c r="I37" s="15" t="n">
        <f aca="false">H37/G37</f>
        <v>0.255652173913043</v>
      </c>
      <c r="J37" s="14" t="n">
        <v>89.2</v>
      </c>
      <c r="K37" s="11" t="str">
        <f aca="false">IF(AND(H37&gt;=Settings!$B$11,G37&gt;=Settings!$B$12),"High",IF(H37&gt;=Settings!$B$13,"Medium","Low"))</f>
        <v>Low</v>
      </c>
      <c r="L37" s="11" t="s">
        <v>36</v>
      </c>
      <c r="M37" s="16"/>
      <c r="N37" s="16"/>
      <c r="O37" s="16"/>
    </row>
    <row r="38" customFormat="false" ht="15" hidden="false" customHeight="false" outlineLevel="0" collapsed="false">
      <c r="A38" s="11" t="s">
        <v>3</v>
      </c>
      <c r="B38" s="11" t="s">
        <v>80</v>
      </c>
      <c r="C38" s="12" t="n">
        <v>277672</v>
      </c>
      <c r="D38" s="12" t="n">
        <v>278780</v>
      </c>
      <c r="E38" s="13" t="n">
        <f aca="false">C38/Settings!$B$3/86400</f>
        <v>0.107126543209877</v>
      </c>
      <c r="F38" s="13" t="n">
        <f aca="false">D38/Settings!$B$3/86400</f>
        <v>0.107554012345679</v>
      </c>
      <c r="G38" s="14" t="n">
        <f aca="false">(D38-C38+1)/Settings!$B$3</f>
        <v>36.9666666666667</v>
      </c>
      <c r="H38" s="15" t="n">
        <v>8.11</v>
      </c>
      <c r="I38" s="15" t="n">
        <f aca="false">H38/G38</f>
        <v>0.219386834986474</v>
      </c>
      <c r="J38" s="14" t="n">
        <v>83</v>
      </c>
      <c r="K38" s="11" t="str">
        <f aca="false">IF(AND(H38&gt;=Settings!$B$11,G38&gt;=Settings!$B$12),"High",IF(H38&gt;=Settings!$B$13,"Medium","Low"))</f>
        <v>High</v>
      </c>
      <c r="L38" s="11" t="s">
        <v>36</v>
      </c>
      <c r="M38" s="16"/>
      <c r="N38" s="16"/>
      <c r="O38" s="16"/>
    </row>
    <row r="39" customFormat="false" ht="15" hidden="false" customHeight="false" outlineLevel="0" collapsed="false">
      <c r="A39" s="11" t="s">
        <v>3</v>
      </c>
      <c r="B39" s="11" t="s">
        <v>81</v>
      </c>
      <c r="C39" s="12" t="n">
        <v>284345</v>
      </c>
      <c r="D39" s="12" t="n">
        <v>285235</v>
      </c>
      <c r="E39" s="13" t="n">
        <f aca="false">C39/Settings!$B$3/86400</f>
        <v>0.10970100308642</v>
      </c>
      <c r="F39" s="13" t="n">
        <f aca="false">D39/Settings!$B$3/86400</f>
        <v>0.110044367283951</v>
      </c>
      <c r="G39" s="14" t="n">
        <f aca="false">(D39-C39+1)/Settings!$B$3</f>
        <v>29.7</v>
      </c>
      <c r="H39" s="15" t="n">
        <v>6.25</v>
      </c>
      <c r="I39" s="15" t="n">
        <f aca="false">H39/G39</f>
        <v>0.21043771043771</v>
      </c>
      <c r="J39" s="14" t="n">
        <v>84.6</v>
      </c>
      <c r="K39" s="11" t="str">
        <f aca="false">IF(AND(H39&gt;=Settings!$B$11,G39&gt;=Settings!$B$12),"High",IF(H39&gt;=Settings!$B$13,"Medium","Low"))</f>
        <v>High</v>
      </c>
      <c r="L39" s="11" t="s">
        <v>36</v>
      </c>
      <c r="M39" s="16"/>
      <c r="N39" s="16"/>
      <c r="O39" s="16"/>
    </row>
    <row r="40" customFormat="false" ht="15" hidden="false" customHeight="false" outlineLevel="0" collapsed="false">
      <c r="A40" s="11" t="s">
        <v>3</v>
      </c>
      <c r="B40" s="11" t="s">
        <v>82</v>
      </c>
      <c r="C40" s="12" t="n">
        <v>285948</v>
      </c>
      <c r="D40" s="12" t="n">
        <v>286400</v>
      </c>
      <c r="E40" s="13" t="n">
        <f aca="false">C40/Settings!$B$3/86400</f>
        <v>0.110319444444444</v>
      </c>
      <c r="F40" s="13" t="n">
        <f aca="false">D40/Settings!$B$3/86400</f>
        <v>0.110493827160494</v>
      </c>
      <c r="G40" s="14" t="n">
        <f aca="false">(D40-C40+1)/Settings!$B$3</f>
        <v>15.1</v>
      </c>
      <c r="H40" s="15" t="n">
        <v>3.39</v>
      </c>
      <c r="I40" s="15" t="n">
        <f aca="false">H40/G40</f>
        <v>0.224503311258278</v>
      </c>
      <c r="J40" s="14" t="n">
        <v>83</v>
      </c>
      <c r="K40" s="11" t="str">
        <f aca="false">IF(AND(H40&gt;=Settings!$B$11,G40&gt;=Settings!$B$12),"High",IF(H40&gt;=Settings!$B$13,"Medium","Low"))</f>
        <v>High</v>
      </c>
      <c r="L40" s="11" t="s">
        <v>36</v>
      </c>
      <c r="M40" s="16"/>
      <c r="N40" s="16"/>
      <c r="O40" s="16"/>
    </row>
    <row r="41" customFormat="false" ht="15" hidden="false" customHeight="false" outlineLevel="0" collapsed="false">
      <c r="A41" s="11" t="s">
        <v>3</v>
      </c>
      <c r="B41" s="11" t="s">
        <v>83</v>
      </c>
      <c r="C41" s="12" t="n">
        <v>287427</v>
      </c>
      <c r="D41" s="12" t="n">
        <v>287549</v>
      </c>
      <c r="E41" s="13" t="n">
        <f aca="false">C41/Settings!$B$3/86400</f>
        <v>0.110890046296296</v>
      </c>
      <c r="F41" s="13" t="n">
        <f aca="false">D41/Settings!$B$3/86400</f>
        <v>0.110937114197531</v>
      </c>
      <c r="G41" s="14" t="n">
        <f aca="false">(D41-C41+1)/Settings!$B$3</f>
        <v>4.1</v>
      </c>
      <c r="H41" s="15" t="n">
        <v>0.85</v>
      </c>
      <c r="I41" s="15" t="n">
        <f aca="false">H41/G41</f>
        <v>0.207317073170732</v>
      </c>
      <c r="J41" s="14" t="n">
        <v>93.8</v>
      </c>
      <c r="K41" s="11" t="str">
        <f aca="false">IF(AND(H41&gt;=Settings!$B$11,G41&gt;=Settings!$B$12),"High",IF(H41&gt;=Settings!$B$13,"Medium","Low"))</f>
        <v>Low</v>
      </c>
      <c r="L41" s="11" t="s">
        <v>36</v>
      </c>
      <c r="M41" s="16"/>
      <c r="N41" s="16"/>
      <c r="O41" s="16"/>
    </row>
    <row r="42" customFormat="false" ht="15" hidden="false" customHeight="false" outlineLevel="0" collapsed="false">
      <c r="A42" s="11" t="s">
        <v>3</v>
      </c>
      <c r="B42" s="11" t="s">
        <v>84</v>
      </c>
      <c r="C42" s="12" t="n">
        <v>290431</v>
      </c>
      <c r="D42" s="12" t="n">
        <v>291957</v>
      </c>
      <c r="E42" s="13" t="n">
        <f aca="false">C42/Settings!$B$3/86400</f>
        <v>0.11204899691358</v>
      </c>
      <c r="F42" s="13" t="n">
        <f aca="false">D42/Settings!$B$3/86400</f>
        <v>0.112637731481481</v>
      </c>
      <c r="G42" s="14" t="n">
        <f aca="false">(D42-C42+1)/Settings!$B$3</f>
        <v>50.9</v>
      </c>
      <c r="H42" s="15" t="n">
        <v>12.49</v>
      </c>
      <c r="I42" s="15" t="n">
        <f aca="false">H42/G42</f>
        <v>0.245383104125737</v>
      </c>
      <c r="J42" s="14" t="n">
        <v>79.3</v>
      </c>
      <c r="K42" s="11" t="str">
        <f aca="false">IF(AND(H42&gt;=Settings!$B$11,G42&gt;=Settings!$B$12),"High",IF(H42&gt;=Settings!$B$13,"Medium","Low"))</f>
        <v>High</v>
      </c>
      <c r="L42" s="11" t="s">
        <v>36</v>
      </c>
      <c r="M42" s="16"/>
      <c r="N42" s="16"/>
      <c r="O42" s="16"/>
    </row>
    <row r="43" customFormat="false" ht="15" hidden="false" customHeight="false" outlineLevel="0" collapsed="false">
      <c r="A43" s="11" t="s">
        <v>3</v>
      </c>
      <c r="B43" s="11" t="s">
        <v>85</v>
      </c>
      <c r="C43" s="12" t="n">
        <v>297380</v>
      </c>
      <c r="D43" s="12" t="n">
        <v>297867</v>
      </c>
      <c r="E43" s="13" t="n">
        <f aca="false">C43/Settings!$B$3/86400</f>
        <v>0.114729938271605</v>
      </c>
      <c r="F43" s="13" t="n">
        <f aca="false">D43/Settings!$B$3/86400</f>
        <v>0.114917824074074</v>
      </c>
      <c r="G43" s="14" t="n">
        <f aca="false">(D43-C43+1)/Settings!$B$3</f>
        <v>16.2666666666667</v>
      </c>
      <c r="H43" s="15" t="n">
        <v>3.77</v>
      </c>
      <c r="I43" s="15" t="n">
        <f aca="false">H43/G43</f>
        <v>0.231762295081967</v>
      </c>
      <c r="J43" s="14" t="n">
        <v>87.6</v>
      </c>
      <c r="K43" s="11" t="str">
        <f aca="false">IF(AND(H43&gt;=Settings!$B$11,G43&gt;=Settings!$B$12),"High",IF(H43&gt;=Settings!$B$13,"Medium","Low"))</f>
        <v>High</v>
      </c>
      <c r="L43" s="11" t="s">
        <v>36</v>
      </c>
      <c r="M43" s="16"/>
      <c r="N43" s="16"/>
      <c r="O43" s="16"/>
    </row>
    <row r="44" customFormat="false" ht="15" hidden="false" customHeight="false" outlineLevel="0" collapsed="false">
      <c r="A44" s="11" t="s">
        <v>3</v>
      </c>
      <c r="B44" s="11" t="s">
        <v>86</v>
      </c>
      <c r="C44" s="12" t="n">
        <v>298369</v>
      </c>
      <c r="D44" s="12" t="n">
        <v>298501</v>
      </c>
      <c r="E44" s="13" t="n">
        <f aca="false">C44/Settings!$B$3/86400</f>
        <v>0.11511149691358</v>
      </c>
      <c r="F44" s="13" t="n">
        <f aca="false">D44/Settings!$B$3/86400</f>
        <v>0.115162422839506</v>
      </c>
      <c r="G44" s="14" t="n">
        <f aca="false">(D44-C44+1)/Settings!$B$3</f>
        <v>4.43333333333333</v>
      </c>
      <c r="H44" s="15" t="n">
        <v>1.08</v>
      </c>
      <c r="I44" s="15" t="n">
        <f aca="false">H44/G44</f>
        <v>0.243609022556391</v>
      </c>
      <c r="J44" s="14" t="n">
        <v>95.1</v>
      </c>
      <c r="K44" s="11" t="str">
        <f aca="false">IF(AND(H44&gt;=Settings!$B$11,G44&gt;=Settings!$B$12),"High",IF(H44&gt;=Settings!$B$13,"Medium","Low"))</f>
        <v>Medium</v>
      </c>
      <c r="L44" s="11" t="s">
        <v>36</v>
      </c>
      <c r="M44" s="16"/>
      <c r="N44" s="16"/>
      <c r="O44" s="16"/>
    </row>
    <row r="45" customFormat="false" ht="15" hidden="false" customHeight="false" outlineLevel="0" collapsed="false">
      <c r="A45" s="11" t="s">
        <v>3</v>
      </c>
      <c r="B45" s="11" t="s">
        <v>87</v>
      </c>
      <c r="C45" s="12" t="n">
        <v>299183</v>
      </c>
      <c r="D45" s="12" t="n">
        <v>299342</v>
      </c>
      <c r="E45" s="13" t="n">
        <f aca="false">C45/Settings!$B$3/86400</f>
        <v>0.115425540123457</v>
      </c>
      <c r="F45" s="13" t="n">
        <f aca="false">D45/Settings!$B$3/86400</f>
        <v>0.115486882716049</v>
      </c>
      <c r="G45" s="14" t="n">
        <f aca="false">(D45-C45+1)/Settings!$B$3</f>
        <v>5.33333333333333</v>
      </c>
      <c r="H45" s="15" t="n">
        <v>0.98</v>
      </c>
      <c r="I45" s="15" t="n">
        <f aca="false">H45/G45</f>
        <v>0.18375</v>
      </c>
      <c r="J45" s="14" t="n">
        <v>84.8</v>
      </c>
      <c r="K45" s="11" t="str">
        <f aca="false">IF(AND(H45&gt;=Settings!$B$11,G45&gt;=Settings!$B$12),"High",IF(H45&gt;=Settings!$B$13,"Medium","Low"))</f>
        <v>Low</v>
      </c>
      <c r="L45" s="11" t="s">
        <v>36</v>
      </c>
      <c r="M45" s="16"/>
      <c r="N45" s="16"/>
      <c r="O45" s="16"/>
    </row>
    <row r="46" customFormat="false" ht="15" hidden="false" customHeight="false" outlineLevel="0" collapsed="false">
      <c r="A46" s="11" t="s">
        <v>3</v>
      </c>
      <c r="B46" s="11" t="s">
        <v>88</v>
      </c>
      <c r="C46" s="12" t="n">
        <v>300814</v>
      </c>
      <c r="D46" s="12" t="n">
        <v>301465</v>
      </c>
      <c r="E46" s="13" t="n">
        <f aca="false">C46/Settings!$B$3/86400</f>
        <v>0.116054783950617</v>
      </c>
      <c r="F46" s="13" t="n">
        <f aca="false">D46/Settings!$B$3/86400</f>
        <v>0.116305941358025</v>
      </c>
      <c r="G46" s="14" t="n">
        <f aca="false">(D46-C46+1)/Settings!$B$3</f>
        <v>21.7333333333333</v>
      </c>
      <c r="H46" s="15" t="n">
        <v>4.63</v>
      </c>
      <c r="I46" s="15" t="n">
        <f aca="false">H46/G46</f>
        <v>0.213036809815951</v>
      </c>
      <c r="J46" s="14" t="n">
        <v>85</v>
      </c>
      <c r="K46" s="11" t="str">
        <f aca="false">IF(AND(H46&gt;=Settings!$B$11,G46&gt;=Settings!$B$12),"High",IF(H46&gt;=Settings!$B$13,"Medium","Low"))</f>
        <v>High</v>
      </c>
      <c r="L46" s="11" t="s">
        <v>36</v>
      </c>
      <c r="M46" s="16"/>
      <c r="N46" s="16"/>
      <c r="O46" s="16"/>
    </row>
    <row r="47" customFormat="false" ht="15" hidden="false" customHeight="false" outlineLevel="0" collapsed="false">
      <c r="A47" s="11" t="s">
        <v>3</v>
      </c>
      <c r="B47" s="11" t="s">
        <v>89</v>
      </c>
      <c r="C47" s="12" t="n">
        <v>302548</v>
      </c>
      <c r="D47" s="12" t="n">
        <v>303456</v>
      </c>
      <c r="E47" s="13" t="n">
        <f aca="false">C47/Settings!$B$3/86400</f>
        <v>0.116723765432099</v>
      </c>
      <c r="F47" s="13" t="n">
        <f aca="false">D47/Settings!$B$3/86400</f>
        <v>0.117074074074074</v>
      </c>
      <c r="G47" s="14" t="n">
        <f aca="false">(D47-C47+1)/Settings!$B$3</f>
        <v>30.3</v>
      </c>
      <c r="H47" s="15" t="n">
        <v>6.64</v>
      </c>
      <c r="I47" s="15" t="n">
        <f aca="false">H47/G47</f>
        <v>0.219141914191419</v>
      </c>
      <c r="J47" s="14" t="n">
        <v>80.7</v>
      </c>
      <c r="K47" s="11" t="str">
        <f aca="false">IF(AND(H47&gt;=Settings!$B$11,G47&gt;=Settings!$B$12),"High",IF(H47&gt;=Settings!$B$13,"Medium","Low"))</f>
        <v>High</v>
      </c>
      <c r="L47" s="11" t="s">
        <v>36</v>
      </c>
      <c r="M47" s="16"/>
      <c r="N47" s="16"/>
      <c r="O47" s="16"/>
    </row>
    <row r="48" customFormat="false" ht="15" hidden="false" customHeight="false" outlineLevel="0" collapsed="false">
      <c r="A48" s="11" t="s">
        <v>3</v>
      </c>
      <c r="B48" s="11" t="s">
        <v>90</v>
      </c>
      <c r="C48" s="12" t="n">
        <v>310706</v>
      </c>
      <c r="D48" s="12" t="n">
        <v>310821</v>
      </c>
      <c r="E48" s="13" t="n">
        <f aca="false">C48/Settings!$B$3/86400</f>
        <v>0.119871141975309</v>
      </c>
      <c r="F48" s="13" t="n">
        <f aca="false">D48/Settings!$B$3/86400</f>
        <v>0.119915509259259</v>
      </c>
      <c r="G48" s="14" t="n">
        <f aca="false">(D48-C48+1)/Settings!$B$3</f>
        <v>3.86666666666667</v>
      </c>
      <c r="H48" s="15" t="n">
        <v>0.68</v>
      </c>
      <c r="I48" s="15" t="n">
        <f aca="false">H48/G48</f>
        <v>0.175862068965517</v>
      </c>
      <c r="J48" s="14" t="n">
        <v>120.4</v>
      </c>
      <c r="K48" s="11" t="str">
        <f aca="false">IF(AND(H48&gt;=Settings!$B$11,G48&gt;=Settings!$B$12),"High",IF(H48&gt;=Settings!$B$13,"Medium","Low"))</f>
        <v>Low</v>
      </c>
      <c r="L48" s="11" t="s">
        <v>36</v>
      </c>
      <c r="M48" s="16"/>
      <c r="N48" s="16"/>
      <c r="O48" s="16"/>
    </row>
    <row r="49" customFormat="false" ht="15" hidden="false" customHeight="false" outlineLevel="0" collapsed="false">
      <c r="A49" s="11" t="s">
        <v>3</v>
      </c>
      <c r="B49" s="11" t="s">
        <v>91</v>
      </c>
      <c r="C49" s="12" t="n">
        <v>311191</v>
      </c>
      <c r="D49" s="12" t="n">
        <v>311277</v>
      </c>
      <c r="E49" s="13" t="n">
        <f aca="false">C49/Settings!$B$3/86400</f>
        <v>0.12005825617284</v>
      </c>
      <c r="F49" s="13" t="n">
        <f aca="false">D49/Settings!$B$3/86400</f>
        <v>0.120091435185185</v>
      </c>
      <c r="G49" s="14" t="n">
        <f aca="false">(D49-C49+1)/Settings!$B$3</f>
        <v>2.9</v>
      </c>
      <c r="H49" s="15" t="n">
        <v>1.03</v>
      </c>
      <c r="I49" s="15" t="n">
        <f aca="false">H49/G49</f>
        <v>0.355172413793104</v>
      </c>
      <c r="J49" s="14" t="n">
        <v>81</v>
      </c>
      <c r="K49" s="11" t="str">
        <f aca="false">IF(AND(H49&gt;=Settings!$B$11,G49&gt;=Settings!$B$12),"High",IF(H49&gt;=Settings!$B$13,"Medium","Low"))</f>
        <v>Medium</v>
      </c>
      <c r="L49" s="11" t="s">
        <v>36</v>
      </c>
      <c r="M49" s="16"/>
      <c r="N49" s="16"/>
      <c r="O49" s="16"/>
    </row>
    <row r="50" customFormat="false" ht="15" hidden="false" customHeight="false" outlineLevel="0" collapsed="false">
      <c r="A50" s="11" t="s">
        <v>3</v>
      </c>
      <c r="B50" s="11" t="s">
        <v>92</v>
      </c>
      <c r="C50" s="12" t="n">
        <v>311617</v>
      </c>
      <c r="D50" s="12" t="n">
        <v>311845</v>
      </c>
      <c r="E50" s="13" t="n">
        <f aca="false">C50/Settings!$B$3/86400</f>
        <v>0.120222608024691</v>
      </c>
      <c r="F50" s="13" t="n">
        <f aca="false">D50/Settings!$B$3/86400</f>
        <v>0.120310570987654</v>
      </c>
      <c r="G50" s="14" t="n">
        <f aca="false">(D50-C50+1)/Settings!$B$3</f>
        <v>7.63333333333333</v>
      </c>
      <c r="H50" s="15" t="n">
        <v>1.61</v>
      </c>
      <c r="I50" s="15" t="n">
        <f aca="false">H50/G50</f>
        <v>0.210917030567686</v>
      </c>
      <c r="J50" s="14" t="n">
        <v>92.4</v>
      </c>
      <c r="K50" s="11" t="str">
        <f aca="false">IF(AND(H50&gt;=Settings!$B$11,G50&gt;=Settings!$B$12),"High",IF(H50&gt;=Settings!$B$13,"Medium","Low"))</f>
        <v>High</v>
      </c>
      <c r="L50" s="11" t="s">
        <v>36</v>
      </c>
      <c r="M50" s="16"/>
      <c r="N50" s="16"/>
      <c r="O50" s="16"/>
    </row>
    <row r="51" customFormat="false" ht="15" hidden="false" customHeight="false" outlineLevel="0" collapsed="false">
      <c r="A51" s="11" t="s">
        <v>3</v>
      </c>
      <c r="B51" s="11" t="s">
        <v>93</v>
      </c>
      <c r="C51" s="12" t="n">
        <v>312390</v>
      </c>
      <c r="D51" s="12" t="n">
        <v>312653</v>
      </c>
      <c r="E51" s="13" t="n">
        <f aca="false">C51/Settings!$B$3/86400</f>
        <v>0.120520833333333</v>
      </c>
      <c r="F51" s="13" t="n">
        <f aca="false">D51/Settings!$B$3/86400</f>
        <v>0.120622299382716</v>
      </c>
      <c r="G51" s="14" t="n">
        <f aca="false">(D51-C51+1)/Settings!$B$3</f>
        <v>8.8</v>
      </c>
      <c r="H51" s="15" t="n">
        <v>2.15</v>
      </c>
      <c r="I51" s="15" t="n">
        <f aca="false">H51/G51</f>
        <v>0.244318181818182</v>
      </c>
      <c r="J51" s="14" t="n">
        <v>81.5</v>
      </c>
      <c r="K51" s="11" t="str">
        <f aca="false">IF(AND(H51&gt;=Settings!$B$11,G51&gt;=Settings!$B$12),"High",IF(H51&gt;=Settings!$B$13,"Medium","Low"))</f>
        <v>High</v>
      </c>
      <c r="L51" s="11" t="s">
        <v>36</v>
      </c>
      <c r="M51" s="16"/>
      <c r="N51" s="16"/>
      <c r="O51" s="16"/>
    </row>
    <row r="52" customFormat="false" ht="15" hidden="false" customHeight="false" outlineLevel="0" collapsed="false">
      <c r="A52" s="11" t="s">
        <v>3</v>
      </c>
      <c r="B52" s="11" t="s">
        <v>94</v>
      </c>
      <c r="C52" s="12" t="n">
        <v>312885</v>
      </c>
      <c r="D52" s="12" t="n">
        <v>313312</v>
      </c>
      <c r="E52" s="13" t="n">
        <f aca="false">C52/Settings!$B$3/86400</f>
        <v>0.120711805555556</v>
      </c>
      <c r="F52" s="13" t="n">
        <f aca="false">D52/Settings!$B$3/86400</f>
        <v>0.120876543209877</v>
      </c>
      <c r="G52" s="14" t="n">
        <f aca="false">(D52-C52+1)/Settings!$B$3</f>
        <v>14.2666666666667</v>
      </c>
      <c r="H52" s="15" t="n">
        <v>2.82</v>
      </c>
      <c r="I52" s="15" t="n">
        <f aca="false">H52/G52</f>
        <v>0.197663551401869</v>
      </c>
      <c r="J52" s="14" t="n">
        <v>79.9</v>
      </c>
      <c r="K52" s="11" t="str">
        <f aca="false">IF(AND(H52&gt;=Settings!$B$11,G52&gt;=Settings!$B$12),"High",IF(H52&gt;=Settings!$B$13,"Medium","Low"))</f>
        <v>High</v>
      </c>
      <c r="L52" s="11" t="s">
        <v>36</v>
      </c>
      <c r="M52" s="16"/>
      <c r="N52" s="16"/>
      <c r="O52" s="16"/>
    </row>
    <row r="53" customFormat="false" ht="15" hidden="false" customHeight="false" outlineLevel="0" collapsed="false">
      <c r="A53" s="11" t="s">
        <v>3</v>
      </c>
      <c r="B53" s="11" t="s">
        <v>95</v>
      </c>
      <c r="C53" s="12" t="n">
        <v>314392</v>
      </c>
      <c r="D53" s="12" t="n">
        <v>314830</v>
      </c>
      <c r="E53" s="13" t="n">
        <f aca="false">C53/Settings!$B$3/86400</f>
        <v>0.121293209876543</v>
      </c>
      <c r="F53" s="13" t="n">
        <f aca="false">D53/Settings!$B$3/86400</f>
        <v>0.121462191358025</v>
      </c>
      <c r="G53" s="14" t="n">
        <f aca="false">(D53-C53+1)/Settings!$B$3</f>
        <v>14.6333333333333</v>
      </c>
      <c r="H53" s="15" t="n">
        <v>3.48</v>
      </c>
      <c r="I53" s="15" t="n">
        <f aca="false">H53/G53</f>
        <v>0.237813211845103</v>
      </c>
      <c r="J53" s="14" t="n">
        <v>80.3</v>
      </c>
      <c r="K53" s="11" t="str">
        <f aca="false">IF(AND(H53&gt;=Settings!$B$11,G53&gt;=Settings!$B$12),"High",IF(H53&gt;=Settings!$B$13,"Medium","Low"))</f>
        <v>High</v>
      </c>
      <c r="L53" s="11" t="s">
        <v>36</v>
      </c>
      <c r="M53" s="16"/>
      <c r="N53" s="16"/>
      <c r="O53" s="16"/>
    </row>
    <row r="54" customFormat="false" ht="15" hidden="false" customHeight="false" outlineLevel="0" collapsed="false">
      <c r="A54" s="11" t="s">
        <v>3</v>
      </c>
      <c r="B54" s="11" t="s">
        <v>96</v>
      </c>
      <c r="C54" s="12" t="n">
        <v>315485</v>
      </c>
      <c r="D54" s="12" t="n">
        <v>316088</v>
      </c>
      <c r="E54" s="13" t="n">
        <f aca="false">C54/Settings!$B$3/86400</f>
        <v>0.121714891975309</v>
      </c>
      <c r="F54" s="13" t="n">
        <f aca="false">D54/Settings!$B$3/86400</f>
        <v>0.121947530864198</v>
      </c>
      <c r="G54" s="14" t="n">
        <f aca="false">(D54-C54+1)/Settings!$B$3</f>
        <v>20.1333333333333</v>
      </c>
      <c r="H54" s="15" t="n">
        <v>4.35</v>
      </c>
      <c r="I54" s="15" t="n">
        <f aca="false">H54/G54</f>
        <v>0.216059602649007</v>
      </c>
      <c r="J54" s="14" t="n">
        <v>79.3</v>
      </c>
      <c r="K54" s="11" t="str">
        <f aca="false">IF(AND(H54&gt;=Settings!$B$11,G54&gt;=Settings!$B$12),"High",IF(H54&gt;=Settings!$B$13,"Medium","Low"))</f>
        <v>High</v>
      </c>
      <c r="L54" s="11" t="s">
        <v>36</v>
      </c>
      <c r="M54" s="16"/>
      <c r="N54" s="16"/>
      <c r="O54" s="16"/>
    </row>
    <row r="55" customFormat="false" ht="15" hidden="false" customHeight="false" outlineLevel="0" collapsed="false">
      <c r="A55" s="11" t="s">
        <v>3</v>
      </c>
      <c r="B55" s="11" t="s">
        <v>97</v>
      </c>
      <c r="C55" s="12" t="n">
        <v>316941</v>
      </c>
      <c r="D55" s="12" t="n">
        <v>317079</v>
      </c>
      <c r="E55" s="13" t="n">
        <f aca="false">C55/Settings!$B$3/86400</f>
        <v>0.12227662037037</v>
      </c>
      <c r="F55" s="13" t="n">
        <f aca="false">D55/Settings!$B$3/86400</f>
        <v>0.122329861111111</v>
      </c>
      <c r="G55" s="14" t="n">
        <f aca="false">(D55-C55+1)/Settings!$B$3</f>
        <v>4.63333333333333</v>
      </c>
      <c r="H55" s="15" t="n">
        <v>0.79</v>
      </c>
      <c r="I55" s="15" t="n">
        <f aca="false">H55/G55</f>
        <v>0.170503597122302</v>
      </c>
      <c r="J55" s="14" t="n">
        <v>90.6</v>
      </c>
      <c r="K55" s="11" t="str">
        <f aca="false">IF(AND(H55&gt;=Settings!$B$11,G55&gt;=Settings!$B$12),"High",IF(H55&gt;=Settings!$B$13,"Medium","Low"))</f>
        <v>Low</v>
      </c>
      <c r="L55" s="11" t="s">
        <v>36</v>
      </c>
      <c r="M55" s="16"/>
      <c r="N55" s="16"/>
      <c r="O55" s="16"/>
    </row>
    <row r="56" customFormat="false" ht="15" hidden="false" customHeight="false" outlineLevel="0" collapsed="false">
      <c r="A56" s="11" t="s">
        <v>3</v>
      </c>
      <c r="B56" s="11" t="s">
        <v>98</v>
      </c>
      <c r="C56" s="12" t="n">
        <v>317267</v>
      </c>
      <c r="D56" s="12" t="n">
        <v>317470</v>
      </c>
      <c r="E56" s="13" t="n">
        <f aca="false">C56/Settings!$B$3/86400</f>
        <v>0.122402391975309</v>
      </c>
      <c r="F56" s="13" t="n">
        <f aca="false">D56/Settings!$B$3/86400</f>
        <v>0.122480709876543</v>
      </c>
      <c r="G56" s="14" t="n">
        <f aca="false">(D56-C56+1)/Settings!$B$3</f>
        <v>6.8</v>
      </c>
      <c r="H56" s="15" t="n">
        <v>1.7</v>
      </c>
      <c r="I56" s="15" t="n">
        <f aca="false">H56/G56</f>
        <v>0.25</v>
      </c>
      <c r="J56" s="14" t="n">
        <v>83.5</v>
      </c>
      <c r="K56" s="11" t="str">
        <f aca="false">IF(AND(H56&gt;=Settings!$B$11,G56&gt;=Settings!$B$12),"High",IF(H56&gt;=Settings!$B$13,"Medium","Low"))</f>
        <v>High</v>
      </c>
      <c r="L56" s="11" t="s">
        <v>36</v>
      </c>
      <c r="M56" s="16"/>
      <c r="N56" s="16"/>
      <c r="O56" s="16"/>
    </row>
    <row r="57" customFormat="false" ht="15" hidden="false" customHeight="false" outlineLevel="0" collapsed="false">
      <c r="A57" s="11" t="s">
        <v>3</v>
      </c>
      <c r="B57" s="11" t="s">
        <v>99</v>
      </c>
      <c r="C57" s="12" t="n">
        <v>317922</v>
      </c>
      <c r="D57" s="12" t="n">
        <v>318591</v>
      </c>
      <c r="E57" s="13" t="n">
        <f aca="false">C57/Settings!$B$3/86400</f>
        <v>0.122655092592593</v>
      </c>
      <c r="F57" s="13" t="n">
        <f aca="false">D57/Settings!$B$3/86400</f>
        <v>0.122913194444444</v>
      </c>
      <c r="G57" s="14" t="n">
        <f aca="false">(D57-C57+1)/Settings!$B$3</f>
        <v>22.3333333333333</v>
      </c>
      <c r="H57" s="15" t="n">
        <v>4.75</v>
      </c>
      <c r="I57" s="15" t="n">
        <f aca="false">H57/G57</f>
        <v>0.212686567164179</v>
      </c>
      <c r="J57" s="14" t="n">
        <v>77</v>
      </c>
      <c r="K57" s="11" t="str">
        <f aca="false">IF(AND(H57&gt;=Settings!$B$11,G57&gt;=Settings!$B$12),"High",IF(H57&gt;=Settings!$B$13,"Medium","Low"))</f>
        <v>High</v>
      </c>
      <c r="L57" s="11" t="s">
        <v>36</v>
      </c>
      <c r="M57" s="16"/>
      <c r="N57" s="16"/>
      <c r="O57" s="16"/>
    </row>
    <row r="58" customFormat="false" ht="15" hidden="false" customHeight="false" outlineLevel="0" collapsed="false">
      <c r="A58" s="11" t="s">
        <v>3</v>
      </c>
      <c r="B58" s="11" t="s">
        <v>100</v>
      </c>
      <c r="C58" s="12" t="n">
        <v>319367</v>
      </c>
      <c r="D58" s="12" t="n">
        <v>320650</v>
      </c>
      <c r="E58" s="13" t="n">
        <f aca="false">C58/Settings!$B$3/86400</f>
        <v>0.123212577160494</v>
      </c>
      <c r="F58" s="13" t="n">
        <f aca="false">D58/Settings!$B$3/86400</f>
        <v>0.123707561728395</v>
      </c>
      <c r="G58" s="14" t="n">
        <f aca="false">(D58-C58+1)/Settings!$B$3</f>
        <v>42.8</v>
      </c>
      <c r="H58" s="15" t="n">
        <v>9.3</v>
      </c>
      <c r="I58" s="15" t="n">
        <f aca="false">H58/G58</f>
        <v>0.217289719626168</v>
      </c>
      <c r="J58" s="14" t="n">
        <v>79</v>
      </c>
      <c r="K58" s="11" t="str">
        <f aca="false">IF(AND(H58&gt;=Settings!$B$11,G58&gt;=Settings!$B$12),"High",IF(H58&gt;=Settings!$B$13,"Medium","Low"))</f>
        <v>High</v>
      </c>
      <c r="L58" s="11" t="s">
        <v>36</v>
      </c>
      <c r="M58" s="16"/>
      <c r="N58" s="16"/>
      <c r="O58" s="16"/>
    </row>
    <row r="59" customFormat="false" ht="15" hidden="false" customHeight="false" outlineLevel="0" collapsed="false">
      <c r="A59" s="11" t="s">
        <v>3</v>
      </c>
      <c r="B59" s="11" t="s">
        <v>101</v>
      </c>
      <c r="C59" s="12" t="n">
        <v>323064</v>
      </c>
      <c r="D59" s="12" t="n">
        <v>323251</v>
      </c>
      <c r="E59" s="13" t="n">
        <f aca="false">C59/Settings!$B$3/86400</f>
        <v>0.124638888888889</v>
      </c>
      <c r="F59" s="13" t="n">
        <f aca="false">D59/Settings!$B$3/86400</f>
        <v>0.124711033950617</v>
      </c>
      <c r="G59" s="14" t="n">
        <f aca="false">(D59-C59+1)/Settings!$B$3</f>
        <v>6.26666666666667</v>
      </c>
      <c r="H59" s="15" t="n">
        <v>1.23</v>
      </c>
      <c r="I59" s="15" t="n">
        <f aca="false">H59/G59</f>
        <v>0.196276595744681</v>
      </c>
      <c r="J59" s="14" t="n">
        <v>78.1</v>
      </c>
      <c r="K59" s="11" t="str">
        <f aca="false">IF(AND(H59&gt;=Settings!$B$11,G59&gt;=Settings!$B$12),"High",IF(H59&gt;=Settings!$B$13,"Medium","Low"))</f>
        <v>Medium</v>
      </c>
      <c r="L59" s="11" t="s">
        <v>36</v>
      </c>
      <c r="M59" s="16"/>
      <c r="N59" s="16"/>
      <c r="O59" s="16"/>
    </row>
    <row r="60" customFormat="false" ht="15" hidden="false" customHeight="false" outlineLevel="0" collapsed="false">
      <c r="A60" s="11" t="s">
        <v>3</v>
      </c>
      <c r="B60" s="11" t="s">
        <v>102</v>
      </c>
      <c r="C60" s="12" t="n">
        <v>324043</v>
      </c>
      <c r="D60" s="12" t="n">
        <v>325424</v>
      </c>
      <c r="E60" s="13" t="n">
        <f aca="false">C60/Settings!$B$3/86400</f>
        <v>0.125016589506173</v>
      </c>
      <c r="F60" s="13" t="n">
        <f aca="false">D60/Settings!$B$3/86400</f>
        <v>0.125549382716049</v>
      </c>
      <c r="G60" s="14" t="n">
        <f aca="false">(D60-C60+1)/Settings!$B$3</f>
        <v>46.0666666666667</v>
      </c>
      <c r="H60" s="15" t="n">
        <v>10.11</v>
      </c>
      <c r="I60" s="15" t="n">
        <f aca="false">H60/G60</f>
        <v>0.219464544138929</v>
      </c>
      <c r="J60" s="14" t="n">
        <v>81.3</v>
      </c>
      <c r="K60" s="11" t="str">
        <f aca="false">IF(AND(H60&gt;=Settings!$B$11,G60&gt;=Settings!$B$12),"High",IF(H60&gt;=Settings!$B$13,"Medium","Low"))</f>
        <v>High</v>
      </c>
      <c r="L60" s="11" t="s">
        <v>36</v>
      </c>
      <c r="M60" s="16"/>
      <c r="N60" s="16"/>
      <c r="O60" s="16"/>
    </row>
    <row r="61" customFormat="false" ht="15" hidden="false" customHeight="false" outlineLevel="0" collapsed="false">
      <c r="A61" s="11" t="s">
        <v>3</v>
      </c>
      <c r="B61" s="11" t="s">
        <v>103</v>
      </c>
      <c r="C61" s="12" t="n">
        <v>330419</v>
      </c>
      <c r="D61" s="12" t="n">
        <v>330554</v>
      </c>
      <c r="E61" s="13" t="n">
        <f aca="false">C61/Settings!$B$3/86400</f>
        <v>0.127476466049383</v>
      </c>
      <c r="F61" s="13" t="n">
        <f aca="false">D61/Settings!$B$3/86400</f>
        <v>0.127528549382716</v>
      </c>
      <c r="G61" s="14" t="n">
        <f aca="false">(D61-C61+1)/Settings!$B$3</f>
        <v>4.53333333333333</v>
      </c>
      <c r="H61" s="15" t="n">
        <v>1.09</v>
      </c>
      <c r="I61" s="15" t="n">
        <f aca="false">H61/G61</f>
        <v>0.240441176470588</v>
      </c>
      <c r="J61" s="14" t="n">
        <v>91.4</v>
      </c>
      <c r="K61" s="11" t="str">
        <f aca="false">IF(AND(H61&gt;=Settings!$B$11,G61&gt;=Settings!$B$12),"High",IF(H61&gt;=Settings!$B$13,"Medium","Low"))</f>
        <v>Medium</v>
      </c>
      <c r="L61" s="11" t="s">
        <v>36</v>
      </c>
      <c r="M61" s="16"/>
      <c r="N61" s="16"/>
      <c r="O61" s="16"/>
    </row>
    <row r="62" customFormat="false" ht="15" hidden="false" customHeight="false" outlineLevel="0" collapsed="false">
      <c r="A62" s="11" t="s">
        <v>3</v>
      </c>
      <c r="B62" s="11" t="s">
        <v>104</v>
      </c>
      <c r="C62" s="12" t="n">
        <v>336839</v>
      </c>
      <c r="D62" s="12" t="n">
        <v>337868</v>
      </c>
      <c r="E62" s="13" t="n">
        <f aca="false">C62/Settings!$B$3/86400</f>
        <v>0.129953317901235</v>
      </c>
      <c r="F62" s="13" t="n">
        <f aca="false">D62/Settings!$B$3/86400</f>
        <v>0.130350308641975</v>
      </c>
      <c r="G62" s="14" t="n">
        <f aca="false">(D62-C62+1)/Settings!$B$3</f>
        <v>34.3333333333333</v>
      </c>
      <c r="H62" s="15" t="n">
        <v>7.72</v>
      </c>
      <c r="I62" s="15" t="n">
        <f aca="false">H62/G62</f>
        <v>0.224854368932039</v>
      </c>
      <c r="J62" s="14" t="n">
        <v>79.7</v>
      </c>
      <c r="K62" s="11" t="str">
        <f aca="false">IF(AND(H62&gt;=Settings!$B$11,G62&gt;=Settings!$B$12),"High",IF(H62&gt;=Settings!$B$13,"Medium","Low"))</f>
        <v>High</v>
      </c>
      <c r="L62" s="11" t="s">
        <v>36</v>
      </c>
      <c r="M62" s="16"/>
      <c r="N62" s="16"/>
      <c r="O62" s="16"/>
    </row>
    <row r="63" customFormat="false" ht="15" hidden="false" customHeight="false" outlineLevel="0" collapsed="false">
      <c r="A63" s="11" t="s">
        <v>3</v>
      </c>
      <c r="B63" s="11" t="s">
        <v>105</v>
      </c>
      <c r="C63" s="12" t="n">
        <v>338173</v>
      </c>
      <c r="D63" s="12" t="n">
        <v>338253</v>
      </c>
      <c r="E63" s="13" t="n">
        <f aca="false">C63/Settings!$B$3/86400</f>
        <v>0.130467978395062</v>
      </c>
      <c r="F63" s="13" t="n">
        <f aca="false">D63/Settings!$B$3/86400</f>
        <v>0.130498842592593</v>
      </c>
      <c r="G63" s="14" t="n">
        <f aca="false">(D63-C63+1)/Settings!$B$3</f>
        <v>2.7</v>
      </c>
      <c r="H63" s="15" t="n">
        <v>0.36</v>
      </c>
      <c r="I63" s="15" t="n">
        <f aca="false">H63/G63</f>
        <v>0.133333333333333</v>
      </c>
      <c r="J63" s="14" t="n">
        <v>121.1</v>
      </c>
      <c r="K63" s="11" t="str">
        <f aca="false">IF(AND(H63&gt;=Settings!$B$11,G63&gt;=Settings!$B$12),"High",IF(H63&gt;=Settings!$B$13,"Medium","Low"))</f>
        <v>Low</v>
      </c>
      <c r="L63" s="11" t="s">
        <v>36</v>
      </c>
      <c r="M63" s="16"/>
      <c r="N63" s="16"/>
      <c r="O63" s="16"/>
    </row>
    <row r="64" customFormat="false" ht="15" hidden="false" customHeight="false" outlineLevel="0" collapsed="false">
      <c r="A64" s="11" t="s">
        <v>4</v>
      </c>
      <c r="B64" s="11" t="s">
        <v>106</v>
      </c>
      <c r="C64" s="12" t="n">
        <v>206356</v>
      </c>
      <c r="D64" s="12" t="n">
        <v>206566</v>
      </c>
      <c r="E64" s="13" t="n">
        <f aca="false">C64/Settings!$B$3/86400</f>
        <v>0.0796126543209877</v>
      </c>
      <c r="F64" s="13" t="n">
        <f aca="false">D64/Settings!$B$3/86400</f>
        <v>0.0796936728395062</v>
      </c>
      <c r="G64" s="14" t="n">
        <f aca="false">(D64-C64+1)/Settings!$B$3</f>
        <v>7.03333333333333</v>
      </c>
      <c r="H64" s="15" t="n">
        <v>2.33</v>
      </c>
      <c r="I64" s="15" t="n">
        <f aca="false">H64/G64</f>
        <v>0.331279620853081</v>
      </c>
      <c r="J64" s="14" t="n">
        <v>104.5</v>
      </c>
      <c r="K64" s="11" t="str">
        <f aca="false">IF(AND(H64&gt;=Settings!$B$11,G64&gt;=Settings!$B$12),"High",IF(H64&gt;=Settings!$B$13,"Medium","Low"))</f>
        <v>High</v>
      </c>
      <c r="L64" s="11" t="s">
        <v>36</v>
      </c>
      <c r="M64" s="16"/>
      <c r="N64" s="16"/>
      <c r="O64" s="16"/>
    </row>
    <row r="65" customFormat="false" ht="15" hidden="false" customHeight="false" outlineLevel="0" collapsed="false">
      <c r="A65" s="11" t="s">
        <v>4</v>
      </c>
      <c r="B65" s="11" t="s">
        <v>107</v>
      </c>
      <c r="C65" s="12" t="n">
        <v>332855</v>
      </c>
      <c r="D65" s="12" t="n">
        <v>333096</v>
      </c>
      <c r="E65" s="13" t="n">
        <f aca="false">C65/Settings!$B$3/86400</f>
        <v>0.128416280864198</v>
      </c>
      <c r="F65" s="13" t="n">
        <f aca="false">D65/Settings!$B$3/86400</f>
        <v>0.128509259259259</v>
      </c>
      <c r="G65" s="14" t="n">
        <f aca="false">(D65-C65+1)/Settings!$B$3</f>
        <v>8.06666666666667</v>
      </c>
      <c r="H65" s="15" t="n">
        <v>2.14</v>
      </c>
      <c r="I65" s="15" t="n">
        <f aca="false">H65/G65</f>
        <v>0.265289256198347</v>
      </c>
      <c r="J65" s="14" t="n">
        <v>106.9</v>
      </c>
      <c r="K65" s="11" t="str">
        <f aca="false">IF(AND(H65&gt;=Settings!$B$11,G65&gt;=Settings!$B$12),"High",IF(H65&gt;=Settings!$B$13,"Medium","Low"))</f>
        <v>High</v>
      </c>
      <c r="L65" s="11" t="s">
        <v>36</v>
      </c>
      <c r="M65" s="16"/>
      <c r="N65" s="16"/>
      <c r="O65" s="16"/>
    </row>
    <row r="66" customFormat="false" ht="15" hidden="false" customHeight="false" outlineLevel="0" collapsed="false">
      <c r="A66" s="11" t="s">
        <v>4</v>
      </c>
      <c r="B66" s="11" t="s">
        <v>108</v>
      </c>
      <c r="C66" s="12" t="n">
        <v>334684</v>
      </c>
      <c r="D66" s="12" t="n">
        <v>334823</v>
      </c>
      <c r="E66" s="13" t="n">
        <f aca="false">C66/Settings!$B$3/86400</f>
        <v>0.129121913580247</v>
      </c>
      <c r="F66" s="13" t="n">
        <f aca="false">D66/Settings!$B$3/86400</f>
        <v>0.129175540123457</v>
      </c>
      <c r="G66" s="14" t="n">
        <f aca="false">(D66-C66+1)/Settings!$B$3</f>
        <v>4.66666666666667</v>
      </c>
      <c r="H66" s="15" t="n">
        <v>1.47</v>
      </c>
      <c r="I66" s="15" t="n">
        <f aca="false">H66/G66</f>
        <v>0.315</v>
      </c>
      <c r="J66" s="14" t="n">
        <v>93.4</v>
      </c>
      <c r="K66" s="11" t="str">
        <f aca="false">IF(AND(H66&gt;=Settings!$B$11,G66&gt;=Settings!$B$12),"High",IF(H66&gt;=Settings!$B$13,"Medium","Low"))</f>
        <v>Medium</v>
      </c>
      <c r="L66" s="17" t="s">
        <v>64</v>
      </c>
      <c r="M66" s="16"/>
      <c r="N66" s="16"/>
      <c r="O66" s="16"/>
    </row>
    <row r="67" customFormat="false" ht="15" hidden="false" customHeight="false" outlineLevel="0" collapsed="false">
      <c r="A67" s="11" t="s">
        <v>4</v>
      </c>
      <c r="B67" s="11" t="s">
        <v>109</v>
      </c>
      <c r="C67" s="12" t="n">
        <v>334952</v>
      </c>
      <c r="D67" s="12" t="n">
        <v>335111</v>
      </c>
      <c r="E67" s="13" t="n">
        <f aca="false">C67/Settings!$B$3/86400</f>
        <v>0.129225308641975</v>
      </c>
      <c r="F67" s="13" t="n">
        <f aca="false">D67/Settings!$B$3/86400</f>
        <v>0.129286651234568</v>
      </c>
      <c r="G67" s="14" t="n">
        <f aca="false">(D67-C67+1)/Settings!$B$3</f>
        <v>5.33333333333333</v>
      </c>
      <c r="H67" s="15" t="n">
        <v>1.75</v>
      </c>
      <c r="I67" s="15" t="n">
        <f aca="false">H67/G67</f>
        <v>0.328125</v>
      </c>
      <c r="J67" s="14" t="n">
        <v>92.8</v>
      </c>
      <c r="K67" s="11" t="str">
        <f aca="false">IF(AND(H67&gt;=Settings!$B$11,G67&gt;=Settings!$B$12),"High",IF(H67&gt;=Settings!$B$13,"Medium","Low"))</f>
        <v>High</v>
      </c>
      <c r="L67" s="17" t="s">
        <v>66</v>
      </c>
      <c r="M67" s="16"/>
      <c r="N67" s="16"/>
      <c r="O67" s="16"/>
    </row>
    <row r="68" customFormat="false" ht="15" hidden="false" customHeight="false" outlineLevel="0" collapsed="false">
      <c r="A68" s="11" t="s">
        <v>4</v>
      </c>
      <c r="B68" s="11" t="s">
        <v>110</v>
      </c>
      <c r="C68" s="12" t="n">
        <v>335417</v>
      </c>
      <c r="D68" s="12" t="n">
        <v>335498</v>
      </c>
      <c r="E68" s="13" t="n">
        <f aca="false">C68/Settings!$B$3/86400</f>
        <v>0.129404706790123</v>
      </c>
      <c r="F68" s="13" t="n">
        <f aca="false">D68/Settings!$B$3/86400</f>
        <v>0.129435956790123</v>
      </c>
      <c r="G68" s="14" t="n">
        <f aca="false">(D68-C68+1)/Settings!$B$3</f>
        <v>2.73333333333333</v>
      </c>
      <c r="H68" s="15" t="n">
        <v>1.26</v>
      </c>
      <c r="I68" s="15" t="n">
        <f aca="false">H68/G68</f>
        <v>0.460975609756098</v>
      </c>
      <c r="J68" s="14" t="n">
        <v>103</v>
      </c>
      <c r="K68" s="11" t="str">
        <f aca="false">IF(AND(H68&gt;=Settings!$B$11,G68&gt;=Settings!$B$12),"High",IF(H68&gt;=Settings!$B$13,"Medium","Low"))</f>
        <v>Medium</v>
      </c>
      <c r="L68" s="17" t="s">
        <v>68</v>
      </c>
      <c r="M68" s="16"/>
      <c r="N68" s="16"/>
      <c r="O68" s="16"/>
    </row>
    <row r="69" customFormat="false" ht="15" hidden="false" customHeight="false" outlineLevel="0" collapsed="false">
      <c r="A69" s="11" t="s">
        <v>4</v>
      </c>
      <c r="B69" s="11" t="s">
        <v>111</v>
      </c>
      <c r="C69" s="12" t="n">
        <v>336150</v>
      </c>
      <c r="D69" s="12" t="n">
        <v>336275</v>
      </c>
      <c r="E69" s="13" t="n">
        <f aca="false">C69/Settings!$B$3/86400</f>
        <v>0.1296875</v>
      </c>
      <c r="F69" s="13" t="n">
        <f aca="false">D69/Settings!$B$3/86400</f>
        <v>0.129735725308642</v>
      </c>
      <c r="G69" s="14" t="n">
        <f aca="false">(D69-C69+1)/Settings!$B$3</f>
        <v>4.2</v>
      </c>
      <c r="H69" s="15" t="n">
        <v>1.27</v>
      </c>
      <c r="I69" s="15" t="n">
        <f aca="false">H69/G69</f>
        <v>0.302380952380952</v>
      </c>
      <c r="J69" s="14" t="n">
        <v>87.6</v>
      </c>
      <c r="K69" s="11" t="str">
        <f aca="false">IF(AND(H69&gt;=Settings!$B$11,G69&gt;=Settings!$B$12),"High",IF(H69&gt;=Settings!$B$13,"Medium","Low"))</f>
        <v>Medium</v>
      </c>
      <c r="L69" s="17" t="s">
        <v>70</v>
      </c>
      <c r="M69" s="16"/>
      <c r="N69" s="16"/>
      <c r="O69" s="16"/>
    </row>
    <row r="70" customFormat="false" ht="15" hidden="false" customHeight="false" outlineLevel="0" collapsed="false">
      <c r="A70" s="11" t="s">
        <v>4</v>
      </c>
      <c r="B70" s="11" t="s">
        <v>112</v>
      </c>
      <c r="C70" s="12" t="n">
        <v>351043</v>
      </c>
      <c r="D70" s="12" t="n">
        <v>351222</v>
      </c>
      <c r="E70" s="13" t="n">
        <f aca="false">C70/Settings!$B$3/86400</f>
        <v>0.13543325617284</v>
      </c>
      <c r="F70" s="13" t="n">
        <f aca="false">D70/Settings!$B$3/86400</f>
        <v>0.135502314814815</v>
      </c>
      <c r="G70" s="14" t="n">
        <f aca="false">(D70-C70+1)/Settings!$B$3</f>
        <v>6</v>
      </c>
      <c r="H70" s="15" t="n">
        <v>1.82</v>
      </c>
      <c r="I70" s="15" t="n">
        <f aca="false">H70/G70</f>
        <v>0.303333333333333</v>
      </c>
      <c r="J70" s="14" t="n">
        <v>86.7</v>
      </c>
      <c r="K70" s="11" t="str">
        <f aca="false">IF(AND(H70&gt;=Settings!$B$11,G70&gt;=Settings!$B$12),"High",IF(H70&gt;=Settings!$B$13,"Medium","Low"))</f>
        <v>High</v>
      </c>
      <c r="L70" s="11" t="s">
        <v>36</v>
      </c>
      <c r="M70" s="16"/>
      <c r="N70" s="16"/>
      <c r="O70" s="16"/>
    </row>
    <row r="71" customFormat="false" ht="15" hidden="false" customHeight="false" outlineLevel="0" collapsed="false">
      <c r="A71" s="11" t="s">
        <v>4</v>
      </c>
      <c r="B71" s="11" t="s">
        <v>113</v>
      </c>
      <c r="C71" s="12" t="n">
        <v>351492</v>
      </c>
      <c r="D71" s="12" t="n">
        <v>351979</v>
      </c>
      <c r="E71" s="13" t="n">
        <f aca="false">C71/Settings!$B$3/86400</f>
        <v>0.135606481481481</v>
      </c>
      <c r="F71" s="13" t="n">
        <f aca="false">D71/Settings!$B$3/86400</f>
        <v>0.135794367283951</v>
      </c>
      <c r="G71" s="14" t="n">
        <f aca="false">(D71-C71+1)/Settings!$B$3</f>
        <v>16.2666666666667</v>
      </c>
      <c r="H71" s="15" t="n">
        <v>5.8</v>
      </c>
      <c r="I71" s="15" t="n">
        <f aca="false">H71/G71</f>
        <v>0.35655737704918</v>
      </c>
      <c r="J71" s="14" t="n">
        <v>91.6</v>
      </c>
      <c r="K71" s="11" t="str">
        <f aca="false">IF(AND(H71&gt;=Settings!$B$11,G71&gt;=Settings!$B$12),"High",IF(H71&gt;=Settings!$B$13,"Medium","Low"))</f>
        <v>High</v>
      </c>
      <c r="L71" s="11" t="s">
        <v>36</v>
      </c>
      <c r="M71" s="16"/>
      <c r="N71" s="16"/>
      <c r="O71" s="16"/>
    </row>
    <row r="72" customFormat="false" ht="15" hidden="false" customHeight="false" outlineLevel="0" collapsed="false">
      <c r="A72" s="11" t="s">
        <v>4</v>
      </c>
      <c r="B72" s="11" t="s">
        <v>114</v>
      </c>
      <c r="C72" s="12" t="n">
        <v>352251</v>
      </c>
      <c r="D72" s="12" t="n">
        <v>352362</v>
      </c>
      <c r="E72" s="13" t="n">
        <f aca="false">C72/Settings!$B$3/86400</f>
        <v>0.135899305555556</v>
      </c>
      <c r="F72" s="13" t="n">
        <f aca="false">D72/Settings!$B$3/86400</f>
        <v>0.13594212962963</v>
      </c>
      <c r="G72" s="14" t="n">
        <f aca="false">(D72-C72+1)/Settings!$B$3</f>
        <v>3.73333333333333</v>
      </c>
      <c r="H72" s="15" t="n">
        <v>1.4</v>
      </c>
      <c r="I72" s="15" t="n">
        <f aca="false">H72/G72</f>
        <v>0.375</v>
      </c>
      <c r="J72" s="14" t="n">
        <v>98.1</v>
      </c>
      <c r="K72" s="11" t="str">
        <f aca="false">IF(AND(H72&gt;=Settings!$B$11,G72&gt;=Settings!$B$12),"High",IF(H72&gt;=Settings!$B$13,"Medium","Low"))</f>
        <v>Medium</v>
      </c>
      <c r="L72" s="11" t="s">
        <v>36</v>
      </c>
      <c r="M72" s="16"/>
      <c r="N72" s="16"/>
      <c r="O72" s="16"/>
    </row>
    <row r="73" customFormat="false" ht="15" hidden="false" customHeight="false" outlineLevel="0" collapsed="false">
      <c r="A73" s="11" t="s">
        <v>4</v>
      </c>
      <c r="B73" s="11" t="s">
        <v>115</v>
      </c>
      <c r="C73" s="12" t="n">
        <v>367693</v>
      </c>
      <c r="D73" s="12" t="n">
        <v>367772</v>
      </c>
      <c r="E73" s="13" t="n">
        <f aca="false">C73/Settings!$B$3/86400</f>
        <v>0.141856867283951</v>
      </c>
      <c r="F73" s="13" t="n">
        <f aca="false">D73/Settings!$B$3/86400</f>
        <v>0.141887345679012</v>
      </c>
      <c r="G73" s="14" t="n">
        <f aca="false">(D73-C73+1)/Settings!$B$3</f>
        <v>2.66666666666667</v>
      </c>
      <c r="H73" s="15" t="n">
        <v>0.88</v>
      </c>
      <c r="I73" s="15" t="n">
        <f aca="false">H73/G73</f>
        <v>0.33</v>
      </c>
      <c r="J73" s="14" t="n">
        <v>121.5</v>
      </c>
      <c r="K73" s="11" t="str">
        <f aca="false">IF(AND(H73&gt;=Settings!$B$11,G73&gt;=Settings!$B$12),"High",IF(H73&gt;=Settings!$B$13,"Medium","Low"))</f>
        <v>Low</v>
      </c>
      <c r="L73" s="11" t="s">
        <v>36</v>
      </c>
      <c r="M73" s="16"/>
      <c r="N73" s="16"/>
      <c r="O73" s="16"/>
    </row>
    <row r="74" customFormat="false" ht="15" hidden="false" customHeight="false" outlineLevel="0" collapsed="false">
      <c r="A74" s="11" t="s">
        <v>4</v>
      </c>
      <c r="B74" s="11" t="s">
        <v>116</v>
      </c>
      <c r="C74" s="12" t="n">
        <v>368392</v>
      </c>
      <c r="D74" s="12" t="n">
        <v>368661</v>
      </c>
      <c r="E74" s="13" t="n">
        <f aca="false">C74/Settings!$B$3/86400</f>
        <v>0.142126543209877</v>
      </c>
      <c r="F74" s="13" t="n">
        <f aca="false">D74/Settings!$B$3/86400</f>
        <v>0.142230324074074</v>
      </c>
      <c r="G74" s="14" t="n">
        <f aca="false">(D74-C74+1)/Settings!$B$3</f>
        <v>9</v>
      </c>
      <c r="H74" s="15" t="n">
        <v>2.65</v>
      </c>
      <c r="I74" s="15" t="n">
        <f aca="false">H74/G74</f>
        <v>0.294444444444444</v>
      </c>
      <c r="J74" s="14" t="n">
        <v>89.8</v>
      </c>
      <c r="K74" s="11" t="str">
        <f aca="false">IF(AND(H74&gt;=Settings!$B$11,G74&gt;=Settings!$B$12),"High",IF(H74&gt;=Settings!$B$13,"Medium","Low"))</f>
        <v>High</v>
      </c>
      <c r="L74" s="11" t="s">
        <v>36</v>
      </c>
      <c r="M74" s="16"/>
      <c r="N74" s="16"/>
      <c r="O74" s="16"/>
    </row>
    <row r="75" customFormat="false" ht="15" hidden="false" customHeight="false" outlineLevel="0" collapsed="false">
      <c r="A75" s="11" t="s">
        <v>4</v>
      </c>
      <c r="B75" s="11" t="s">
        <v>117</v>
      </c>
      <c r="C75" s="12" t="n">
        <v>368870</v>
      </c>
      <c r="D75" s="12" t="n">
        <v>369239</v>
      </c>
      <c r="E75" s="13" t="n">
        <f aca="false">C75/Settings!$B$3/86400</f>
        <v>0.142310956790123</v>
      </c>
      <c r="F75" s="13" t="n">
        <f aca="false">D75/Settings!$B$3/86400</f>
        <v>0.142453317901235</v>
      </c>
      <c r="G75" s="14" t="n">
        <f aca="false">(D75-C75+1)/Settings!$B$3</f>
        <v>12.3333333333333</v>
      </c>
      <c r="H75" s="15" t="n">
        <v>4.45</v>
      </c>
      <c r="I75" s="15" t="n">
        <f aca="false">H75/G75</f>
        <v>0.360810810810811</v>
      </c>
      <c r="J75" s="14" t="n">
        <v>87.6</v>
      </c>
      <c r="K75" s="11" t="str">
        <f aca="false">IF(AND(H75&gt;=Settings!$B$11,G75&gt;=Settings!$B$12),"High",IF(H75&gt;=Settings!$B$13,"Medium","Low"))</f>
        <v>High</v>
      </c>
      <c r="L75" s="11" t="s">
        <v>36</v>
      </c>
      <c r="M75" s="16"/>
      <c r="N75" s="16"/>
      <c r="O75" s="16"/>
    </row>
    <row r="76" customFormat="false" ht="15" hidden="false" customHeight="false" outlineLevel="0" collapsed="false">
      <c r="A76" s="11" t="s">
        <v>4</v>
      </c>
      <c r="B76" s="11" t="s">
        <v>118</v>
      </c>
      <c r="C76" s="12" t="n">
        <v>369806</v>
      </c>
      <c r="D76" s="12" t="n">
        <v>370391</v>
      </c>
      <c r="E76" s="13" t="n">
        <f aca="false">C76/Settings!$B$3/86400</f>
        <v>0.142672067901235</v>
      </c>
      <c r="F76" s="13" t="n">
        <f aca="false">D76/Settings!$B$3/86400</f>
        <v>0.142897762345679</v>
      </c>
      <c r="G76" s="14" t="n">
        <f aca="false">(D76-C76+1)/Settings!$B$3</f>
        <v>19.5333333333333</v>
      </c>
      <c r="H76" s="15" t="n">
        <v>6.42</v>
      </c>
      <c r="I76" s="15" t="n">
        <f aca="false">H76/G76</f>
        <v>0.328668941979522</v>
      </c>
      <c r="J76" s="14" t="n">
        <v>83.8</v>
      </c>
      <c r="K76" s="11" t="str">
        <f aca="false">IF(AND(H76&gt;=Settings!$B$11,G76&gt;=Settings!$B$12),"High",IF(H76&gt;=Settings!$B$13,"Medium","Low"))</f>
        <v>High</v>
      </c>
      <c r="L76" s="11" t="s">
        <v>36</v>
      </c>
      <c r="M76" s="16"/>
      <c r="N76" s="16"/>
      <c r="O76" s="16"/>
    </row>
    <row r="77" customFormat="false" ht="15" hidden="false" customHeight="false" outlineLevel="0" collapsed="false">
      <c r="A77" s="11" t="s">
        <v>4</v>
      </c>
      <c r="B77" s="11" t="s">
        <v>119</v>
      </c>
      <c r="C77" s="12" t="n">
        <v>378568</v>
      </c>
      <c r="D77" s="12" t="n">
        <v>378697</v>
      </c>
      <c r="E77" s="13" t="n">
        <f aca="false">C77/Settings!$B$3/86400</f>
        <v>0.146052469135802</v>
      </c>
      <c r="F77" s="13" t="n">
        <f aca="false">D77/Settings!$B$3/86400</f>
        <v>0.146102237654321</v>
      </c>
      <c r="G77" s="14" t="n">
        <f aca="false">(D77-C77+1)/Settings!$B$3</f>
        <v>4.33333333333333</v>
      </c>
      <c r="H77" s="15" t="n">
        <v>1.61</v>
      </c>
      <c r="I77" s="15" t="n">
        <f aca="false">H77/G77</f>
        <v>0.371538461538462</v>
      </c>
      <c r="J77" s="14" t="n">
        <v>99.9</v>
      </c>
      <c r="K77" s="11" t="str">
        <f aca="false">IF(AND(H77&gt;=Settings!$B$11,G77&gt;=Settings!$B$12),"High",IF(H77&gt;=Settings!$B$13,"Medium","Low"))</f>
        <v>Medium</v>
      </c>
      <c r="L77" s="11" t="s">
        <v>36</v>
      </c>
      <c r="M77" s="16"/>
      <c r="N77" s="16"/>
      <c r="O77" s="16"/>
    </row>
    <row r="78" customFormat="false" ht="15" hidden="false" customHeight="false" outlineLevel="0" collapsed="false">
      <c r="A78" s="11" t="s">
        <v>4</v>
      </c>
      <c r="B78" s="11" t="s">
        <v>120</v>
      </c>
      <c r="C78" s="12" t="n">
        <v>380217</v>
      </c>
      <c r="D78" s="12" t="n">
        <v>380420</v>
      </c>
      <c r="E78" s="13" t="n">
        <f aca="false">C78/Settings!$B$3/86400</f>
        <v>0.146688657407407</v>
      </c>
      <c r="F78" s="13" t="n">
        <f aca="false">D78/Settings!$B$3/86400</f>
        <v>0.146766975308642</v>
      </c>
      <c r="G78" s="14" t="n">
        <f aca="false">(D78-C78+1)/Settings!$B$3</f>
        <v>6.8</v>
      </c>
      <c r="H78" s="15" t="n">
        <v>2.48</v>
      </c>
      <c r="I78" s="15" t="n">
        <f aca="false">H78/G78</f>
        <v>0.364705882352941</v>
      </c>
      <c r="J78" s="14" t="n">
        <v>98.3</v>
      </c>
      <c r="K78" s="11" t="str">
        <f aca="false">IF(AND(H78&gt;=Settings!$B$11,G78&gt;=Settings!$B$12),"High",IF(H78&gt;=Settings!$B$13,"Medium","Low"))</f>
        <v>High</v>
      </c>
      <c r="L78" s="11" t="s">
        <v>36</v>
      </c>
      <c r="M78" s="16"/>
      <c r="N78" s="16"/>
      <c r="O78" s="16"/>
    </row>
    <row r="79" customFormat="false" ht="15" hidden="false" customHeight="false" outlineLevel="0" collapsed="false">
      <c r="A79" s="11" t="s">
        <v>4</v>
      </c>
      <c r="B79" s="11" t="s">
        <v>121</v>
      </c>
      <c r="C79" s="12" t="n">
        <v>380684</v>
      </c>
      <c r="D79" s="12" t="n">
        <v>381063</v>
      </c>
      <c r="E79" s="13" t="n">
        <f aca="false">C79/Settings!$B$3/86400</f>
        <v>0.146868827160494</v>
      </c>
      <c r="F79" s="13" t="n">
        <f aca="false">D79/Settings!$B$3/86400</f>
        <v>0.147015046296296</v>
      </c>
      <c r="G79" s="14" t="n">
        <f aca="false">(D79-C79+1)/Settings!$B$3</f>
        <v>12.6666666666667</v>
      </c>
      <c r="H79" s="15" t="n">
        <v>4.2</v>
      </c>
      <c r="I79" s="15" t="n">
        <f aca="false">H79/G79</f>
        <v>0.331578947368421</v>
      </c>
      <c r="J79" s="14" t="n">
        <v>89.2</v>
      </c>
      <c r="K79" s="11" t="str">
        <f aca="false">IF(AND(H79&gt;=Settings!$B$11,G79&gt;=Settings!$B$12),"High",IF(H79&gt;=Settings!$B$13,"Medium","Low"))</f>
        <v>High</v>
      </c>
      <c r="L79" s="11" t="s">
        <v>36</v>
      </c>
      <c r="M79" s="16"/>
      <c r="N79" s="16"/>
      <c r="O79" s="16"/>
    </row>
    <row r="80" customFormat="false" ht="15" hidden="false" customHeight="false" outlineLevel="0" collapsed="false">
      <c r="A80" s="11" t="s">
        <v>4</v>
      </c>
      <c r="B80" s="11" t="s">
        <v>122</v>
      </c>
      <c r="C80" s="12" t="n">
        <v>381308</v>
      </c>
      <c r="D80" s="12" t="n">
        <v>381433</v>
      </c>
      <c r="E80" s="13" t="n">
        <f aca="false">C80/Settings!$B$3/86400</f>
        <v>0.147109567901235</v>
      </c>
      <c r="F80" s="13" t="n">
        <f aca="false">D80/Settings!$B$3/86400</f>
        <v>0.147157793209877</v>
      </c>
      <c r="G80" s="14" t="n">
        <f aca="false">(D80-C80+1)/Settings!$B$3</f>
        <v>4.2</v>
      </c>
      <c r="H80" s="15" t="n">
        <v>1.6</v>
      </c>
      <c r="I80" s="15" t="n">
        <f aca="false">H80/G80</f>
        <v>0.380952380952381</v>
      </c>
      <c r="J80" s="14" t="n">
        <v>89.3</v>
      </c>
      <c r="K80" s="11" t="str">
        <f aca="false">IF(AND(H80&gt;=Settings!$B$11,G80&gt;=Settings!$B$12),"High",IF(H80&gt;=Settings!$B$13,"Medium","Low"))</f>
        <v>Medium</v>
      </c>
      <c r="L80" s="11" t="s">
        <v>36</v>
      </c>
      <c r="M80" s="16"/>
      <c r="N80" s="16"/>
      <c r="O80" s="16"/>
    </row>
    <row r="81" customFormat="false" ht="15" hidden="false" customHeight="false" outlineLevel="0" collapsed="false">
      <c r="A81" s="11" t="s">
        <v>4</v>
      </c>
      <c r="B81" s="11" t="s">
        <v>123</v>
      </c>
      <c r="C81" s="12" t="n">
        <v>382451</v>
      </c>
      <c r="D81" s="12" t="n">
        <v>382673</v>
      </c>
      <c r="E81" s="13" t="n">
        <f aca="false">C81/Settings!$B$3/86400</f>
        <v>0.147550540123457</v>
      </c>
      <c r="F81" s="13" t="n">
        <f aca="false">D81/Settings!$B$3/86400</f>
        <v>0.147636188271605</v>
      </c>
      <c r="G81" s="14" t="n">
        <f aca="false">(D81-C81+1)/Settings!$B$3</f>
        <v>7.43333333333333</v>
      </c>
      <c r="H81" s="15" t="n">
        <v>2.65</v>
      </c>
      <c r="I81" s="15" t="n">
        <f aca="false">H81/G81</f>
        <v>0.356502242152466</v>
      </c>
      <c r="J81" s="14" t="n">
        <v>110.6</v>
      </c>
      <c r="K81" s="11" t="str">
        <f aca="false">IF(AND(H81&gt;=Settings!$B$11,G81&gt;=Settings!$B$12),"High",IF(H81&gt;=Settings!$B$13,"Medium","Low"))</f>
        <v>High</v>
      </c>
      <c r="L81" s="11" t="s">
        <v>36</v>
      </c>
      <c r="M81" s="16"/>
      <c r="N81" s="16"/>
      <c r="O81" s="16"/>
    </row>
    <row r="82" customFormat="false" ht="15" hidden="false" customHeight="false" outlineLevel="0" collapsed="false">
      <c r="A82" s="11" t="s">
        <v>4</v>
      </c>
      <c r="B82" s="11" t="s">
        <v>124</v>
      </c>
      <c r="C82" s="12" t="n">
        <v>382852</v>
      </c>
      <c r="D82" s="12" t="n">
        <v>382994</v>
      </c>
      <c r="E82" s="13" t="n">
        <f aca="false">C82/Settings!$B$3/86400</f>
        <v>0.14770524691358</v>
      </c>
      <c r="F82" s="13" t="n">
        <f aca="false">D82/Settings!$B$3/86400</f>
        <v>0.147760030864198</v>
      </c>
      <c r="G82" s="14" t="n">
        <f aca="false">(D82-C82+1)/Settings!$B$3</f>
        <v>4.76666666666667</v>
      </c>
      <c r="H82" s="15" t="n">
        <v>1.66</v>
      </c>
      <c r="I82" s="15" t="n">
        <f aca="false">H82/G82</f>
        <v>0.348251748251748</v>
      </c>
      <c r="J82" s="14" t="n">
        <v>101.1</v>
      </c>
      <c r="K82" s="11" t="str">
        <f aca="false">IF(AND(H82&gt;=Settings!$B$11,G82&gt;=Settings!$B$12),"High",IF(H82&gt;=Settings!$B$13,"Medium","Low"))</f>
        <v>Medium</v>
      </c>
      <c r="L82" s="11" t="s">
        <v>36</v>
      </c>
      <c r="M82" s="16"/>
      <c r="N82" s="16"/>
      <c r="O82" s="16"/>
    </row>
    <row r="83" customFormat="false" ht="15" hidden="false" customHeight="false" outlineLevel="0" collapsed="false">
      <c r="A83" s="11" t="s">
        <v>4</v>
      </c>
      <c r="B83" s="11" t="s">
        <v>125</v>
      </c>
      <c r="C83" s="12" t="n">
        <v>383118</v>
      </c>
      <c r="D83" s="12" t="n">
        <v>383271</v>
      </c>
      <c r="E83" s="13" t="n">
        <f aca="false">C83/Settings!$B$3/86400</f>
        <v>0.14780787037037</v>
      </c>
      <c r="F83" s="13" t="n">
        <f aca="false">D83/Settings!$B$3/86400</f>
        <v>0.147866898148148</v>
      </c>
      <c r="G83" s="14" t="n">
        <f aca="false">(D83-C83+1)/Settings!$B$3</f>
        <v>5.13333333333333</v>
      </c>
      <c r="H83" s="15" t="n">
        <v>1.94</v>
      </c>
      <c r="I83" s="15" t="n">
        <f aca="false">H83/G83</f>
        <v>0.377922077922078</v>
      </c>
      <c r="J83" s="14" t="n">
        <v>91.9</v>
      </c>
      <c r="K83" s="11" t="str">
        <f aca="false">IF(AND(H83&gt;=Settings!$B$11,G83&gt;=Settings!$B$12),"High",IF(H83&gt;=Settings!$B$13,"Medium","Low"))</f>
        <v>High</v>
      </c>
      <c r="L83" s="11" t="s">
        <v>36</v>
      </c>
      <c r="M83" s="16"/>
      <c r="N83" s="16"/>
      <c r="O83" s="16"/>
    </row>
    <row r="84" customFormat="false" ht="15" hidden="false" customHeight="false" outlineLevel="0" collapsed="false">
      <c r="A84" s="11" t="s">
        <v>4</v>
      </c>
      <c r="B84" s="11" t="s">
        <v>126</v>
      </c>
      <c r="C84" s="12" t="n">
        <v>383469</v>
      </c>
      <c r="D84" s="12" t="n">
        <v>384011</v>
      </c>
      <c r="E84" s="13" t="n">
        <f aca="false">C84/Settings!$B$3/86400</f>
        <v>0.147943287037037</v>
      </c>
      <c r="F84" s="13" t="n">
        <f aca="false">D84/Settings!$B$3/86400</f>
        <v>0.148152391975309</v>
      </c>
      <c r="G84" s="14" t="n">
        <f aca="false">(D84-C84+1)/Settings!$B$3</f>
        <v>18.1</v>
      </c>
      <c r="H84" s="15" t="n">
        <v>6.96</v>
      </c>
      <c r="I84" s="15" t="n">
        <f aca="false">H84/G84</f>
        <v>0.384530386740331</v>
      </c>
      <c r="J84" s="14" t="n">
        <v>101</v>
      </c>
      <c r="K84" s="11" t="str">
        <f aca="false">IF(AND(H84&gt;=Settings!$B$11,G84&gt;=Settings!$B$12),"High",IF(H84&gt;=Settings!$B$13,"Medium","Low"))</f>
        <v>High</v>
      </c>
      <c r="L84" s="11" t="s">
        <v>36</v>
      </c>
      <c r="M84" s="16"/>
      <c r="N84" s="16"/>
      <c r="O84" s="16"/>
    </row>
    <row r="85" customFormat="false" ht="15" hidden="false" customHeight="false" outlineLevel="0" collapsed="false">
      <c r="A85" s="11" t="s">
        <v>4</v>
      </c>
      <c r="B85" s="11" t="s">
        <v>127</v>
      </c>
      <c r="C85" s="12" t="n">
        <v>390789</v>
      </c>
      <c r="D85" s="12" t="n">
        <v>390931</v>
      </c>
      <c r="E85" s="13" t="n">
        <f aca="false">C85/Settings!$B$3/86400</f>
        <v>0.150767361111111</v>
      </c>
      <c r="F85" s="13" t="n">
        <f aca="false">D85/Settings!$B$3/86400</f>
        <v>0.150822145061728</v>
      </c>
      <c r="G85" s="14" t="n">
        <f aca="false">(D85-C85+1)/Settings!$B$3</f>
        <v>4.76666666666667</v>
      </c>
      <c r="H85" s="15" t="n">
        <v>1.79</v>
      </c>
      <c r="I85" s="15" t="n">
        <f aca="false">H85/G85</f>
        <v>0.375524475524476</v>
      </c>
      <c r="J85" s="14" t="n">
        <v>117.9</v>
      </c>
      <c r="K85" s="11" t="str">
        <f aca="false">IF(AND(H85&gt;=Settings!$B$11,G85&gt;=Settings!$B$12),"High",IF(H85&gt;=Settings!$B$13,"Medium","Low"))</f>
        <v>Medium</v>
      </c>
      <c r="L85" s="11" t="s">
        <v>36</v>
      </c>
      <c r="M85" s="16"/>
      <c r="N85" s="16"/>
      <c r="O85" s="16"/>
    </row>
    <row r="86" customFormat="false" ht="15" hidden="false" customHeight="false" outlineLevel="0" collapsed="false">
      <c r="A86" s="11" t="s">
        <v>4</v>
      </c>
      <c r="B86" s="11" t="s">
        <v>128</v>
      </c>
      <c r="C86" s="12" t="n">
        <v>391393</v>
      </c>
      <c r="D86" s="12" t="n">
        <v>391488</v>
      </c>
      <c r="E86" s="13" t="n">
        <f aca="false">C86/Settings!$B$3/86400</f>
        <v>0.151000385802469</v>
      </c>
      <c r="F86" s="13" t="n">
        <f aca="false">D86/Settings!$B$3/86400</f>
        <v>0.151037037037037</v>
      </c>
      <c r="G86" s="14" t="n">
        <f aca="false">(D86-C86+1)/Settings!$B$3</f>
        <v>3.2</v>
      </c>
      <c r="H86" s="15" t="n">
        <v>0.9</v>
      </c>
      <c r="I86" s="15" t="n">
        <f aca="false">H86/G86</f>
        <v>0.28125</v>
      </c>
      <c r="J86" s="14" t="n">
        <v>112</v>
      </c>
      <c r="K86" s="11" t="str">
        <f aca="false">IF(AND(H86&gt;=Settings!$B$11,G86&gt;=Settings!$B$12),"High",IF(H86&gt;=Settings!$B$13,"Medium","Low"))</f>
        <v>Low</v>
      </c>
      <c r="L86" s="11" t="s">
        <v>36</v>
      </c>
      <c r="M86" s="16"/>
      <c r="N86" s="16"/>
      <c r="O86" s="16"/>
    </row>
    <row r="87" customFormat="false" ht="15" hidden="false" customHeight="false" outlineLevel="0" collapsed="false">
      <c r="A87" s="11" t="s">
        <v>4</v>
      </c>
      <c r="B87" s="11" t="s">
        <v>129</v>
      </c>
      <c r="C87" s="12" t="n">
        <v>391735</v>
      </c>
      <c r="D87" s="12" t="n">
        <v>391857</v>
      </c>
      <c r="E87" s="13" t="n">
        <f aca="false">C87/Settings!$B$3/86400</f>
        <v>0.151132330246914</v>
      </c>
      <c r="F87" s="13" t="n">
        <f aca="false">D87/Settings!$B$3/86400</f>
        <v>0.151179398148148</v>
      </c>
      <c r="G87" s="14" t="n">
        <f aca="false">(D87-C87+1)/Settings!$B$3</f>
        <v>4.1</v>
      </c>
      <c r="H87" s="15" t="n">
        <v>1.2</v>
      </c>
      <c r="I87" s="15" t="n">
        <f aca="false">H87/G87</f>
        <v>0.292682926829268</v>
      </c>
      <c r="J87" s="14" t="n">
        <v>108.5</v>
      </c>
      <c r="K87" s="11" t="str">
        <f aca="false">IF(AND(H87&gt;=Settings!$B$11,G87&gt;=Settings!$B$12),"High",IF(H87&gt;=Settings!$B$13,"Medium","Low"))</f>
        <v>Medium</v>
      </c>
      <c r="L87" s="11" t="s">
        <v>36</v>
      </c>
      <c r="M87" s="16"/>
      <c r="N87" s="16"/>
      <c r="O87" s="16"/>
    </row>
    <row r="88" customFormat="false" ht="15" hidden="false" customHeight="false" outlineLevel="0" collapsed="false">
      <c r="A88" s="11" t="s">
        <v>4</v>
      </c>
      <c r="B88" s="11" t="s">
        <v>130</v>
      </c>
      <c r="C88" s="12" t="n">
        <v>392373</v>
      </c>
      <c r="D88" s="12" t="n">
        <v>392739</v>
      </c>
      <c r="E88" s="13" t="n">
        <f aca="false">C88/Settings!$B$3/86400</f>
        <v>0.151378472222222</v>
      </c>
      <c r="F88" s="13" t="n">
        <f aca="false">D88/Settings!$B$3/86400</f>
        <v>0.151519675925926</v>
      </c>
      <c r="G88" s="14" t="n">
        <f aca="false">(D88-C88+1)/Settings!$B$3</f>
        <v>12.2333333333333</v>
      </c>
      <c r="H88" s="15" t="n">
        <v>4.42</v>
      </c>
      <c r="I88" s="15" t="n">
        <f aca="false">H88/G88</f>
        <v>0.361307901907357</v>
      </c>
      <c r="J88" s="14" t="n">
        <v>112.2</v>
      </c>
      <c r="K88" s="11" t="str">
        <f aca="false">IF(AND(H88&gt;=Settings!$B$11,G88&gt;=Settings!$B$12),"High",IF(H88&gt;=Settings!$B$13,"Medium","Low"))</f>
        <v>High</v>
      </c>
      <c r="L88" s="11" t="s">
        <v>36</v>
      </c>
      <c r="M88" s="16"/>
      <c r="N88" s="16"/>
      <c r="O88" s="16"/>
    </row>
    <row r="89" customFormat="false" ht="15" hidden="false" customHeight="false" outlineLevel="0" collapsed="false">
      <c r="A89" s="11" t="s">
        <v>4</v>
      </c>
      <c r="B89" s="11" t="s">
        <v>131</v>
      </c>
      <c r="C89" s="12" t="n">
        <v>393076</v>
      </c>
      <c r="D89" s="12" t="n">
        <v>393192</v>
      </c>
      <c r="E89" s="13" t="n">
        <f aca="false">C89/Settings!$B$3/86400</f>
        <v>0.151649691358025</v>
      </c>
      <c r="F89" s="13" t="n">
        <f aca="false">D89/Settings!$B$3/86400</f>
        <v>0.151694444444444</v>
      </c>
      <c r="G89" s="14" t="n">
        <f aca="false">(D89-C89+1)/Settings!$B$3</f>
        <v>3.9</v>
      </c>
      <c r="H89" s="15" t="n">
        <v>1.25</v>
      </c>
      <c r="I89" s="15" t="n">
        <f aca="false">H89/G89</f>
        <v>0.320512820512821</v>
      </c>
      <c r="J89" s="14" t="n">
        <v>110.8</v>
      </c>
      <c r="K89" s="11" t="str">
        <f aca="false">IF(AND(H89&gt;=Settings!$B$11,G89&gt;=Settings!$B$12),"High",IF(H89&gt;=Settings!$B$13,"Medium","Low"))</f>
        <v>Medium</v>
      </c>
      <c r="L89" s="11" t="s">
        <v>36</v>
      </c>
      <c r="M89" s="16"/>
      <c r="N89" s="16"/>
      <c r="O89" s="16"/>
    </row>
    <row r="90" customFormat="false" ht="15" hidden="false" customHeight="false" outlineLevel="0" collapsed="false">
      <c r="A90" s="11" t="s">
        <v>4</v>
      </c>
      <c r="B90" s="11" t="s">
        <v>132</v>
      </c>
      <c r="C90" s="12" t="n">
        <v>393369</v>
      </c>
      <c r="D90" s="12" t="n">
        <v>393852</v>
      </c>
      <c r="E90" s="13" t="n">
        <f aca="false">C90/Settings!$B$3/86400</f>
        <v>0.151762731481481</v>
      </c>
      <c r="F90" s="13" t="n">
        <f aca="false">D90/Settings!$B$3/86400</f>
        <v>0.151949074074074</v>
      </c>
      <c r="G90" s="14" t="n">
        <f aca="false">(D90-C90+1)/Settings!$B$3</f>
        <v>16.1333333333333</v>
      </c>
      <c r="H90" s="15" t="n">
        <v>3.61</v>
      </c>
      <c r="I90" s="15" t="n">
        <f aca="false">H90/G90</f>
        <v>0.223760330578512</v>
      </c>
      <c r="J90" s="14" t="n">
        <v>105.2</v>
      </c>
      <c r="K90" s="11" t="str">
        <f aca="false">IF(AND(H90&gt;=Settings!$B$11,G90&gt;=Settings!$B$12),"High",IF(H90&gt;=Settings!$B$13,"Medium","Low"))</f>
        <v>High</v>
      </c>
      <c r="L90" s="11" t="s">
        <v>36</v>
      </c>
      <c r="M90" s="16"/>
      <c r="N90" s="16"/>
      <c r="O90" s="16"/>
    </row>
    <row r="91" customFormat="false" ht="15" hidden="false" customHeight="false" outlineLevel="0" collapsed="false">
      <c r="A91" s="11" t="s">
        <v>4</v>
      </c>
      <c r="B91" s="11" t="s">
        <v>133</v>
      </c>
      <c r="C91" s="12" t="n">
        <v>394378</v>
      </c>
      <c r="D91" s="12" t="n">
        <v>394812</v>
      </c>
      <c r="E91" s="13" t="n">
        <f aca="false">C91/Settings!$B$3/86400</f>
        <v>0.15215200617284</v>
      </c>
      <c r="F91" s="13" t="n">
        <f aca="false">D91/Settings!$B$3/86400</f>
        <v>0.152319444444444</v>
      </c>
      <c r="G91" s="14" t="n">
        <f aca="false">(D91-C91+1)/Settings!$B$3</f>
        <v>14.5</v>
      </c>
      <c r="H91" s="15" t="n">
        <v>4.7</v>
      </c>
      <c r="I91" s="15" t="n">
        <f aca="false">H91/G91</f>
        <v>0.324137931034483</v>
      </c>
      <c r="J91" s="14" t="n">
        <v>97.3</v>
      </c>
      <c r="K91" s="11" t="str">
        <f aca="false">IF(AND(H91&gt;=Settings!$B$11,G91&gt;=Settings!$B$12),"High",IF(H91&gt;=Settings!$B$13,"Medium","Low"))</f>
        <v>High</v>
      </c>
      <c r="L91" s="11" t="s">
        <v>36</v>
      </c>
      <c r="M91" s="16"/>
      <c r="N91" s="16"/>
      <c r="O91" s="16"/>
    </row>
    <row r="92" customFormat="false" ht="15" hidden="false" customHeight="false" outlineLevel="0" collapsed="false">
      <c r="A92" s="11" t="s">
        <v>4</v>
      </c>
      <c r="B92" s="11" t="s">
        <v>134</v>
      </c>
      <c r="C92" s="12" t="n">
        <v>395218</v>
      </c>
      <c r="D92" s="12" t="n">
        <v>395557</v>
      </c>
      <c r="E92" s="13" t="n">
        <f aca="false">C92/Settings!$B$3/86400</f>
        <v>0.152476080246914</v>
      </c>
      <c r="F92" s="13" t="n">
        <f aca="false">D92/Settings!$B$3/86400</f>
        <v>0.152606867283951</v>
      </c>
      <c r="G92" s="14" t="n">
        <f aca="false">(D92-C92+1)/Settings!$B$3</f>
        <v>11.3333333333333</v>
      </c>
      <c r="H92" s="15" t="n">
        <v>3.67</v>
      </c>
      <c r="I92" s="15" t="n">
        <f aca="false">H92/G92</f>
        <v>0.323823529411765</v>
      </c>
      <c r="J92" s="14" t="n">
        <v>93.8</v>
      </c>
      <c r="K92" s="11" t="str">
        <f aca="false">IF(AND(H92&gt;=Settings!$B$11,G92&gt;=Settings!$B$12),"High",IF(H92&gt;=Settings!$B$13,"Medium","Low"))</f>
        <v>High</v>
      </c>
      <c r="L92" s="11" t="s">
        <v>36</v>
      </c>
      <c r="M92" s="16"/>
      <c r="N92" s="16"/>
      <c r="O92" s="16"/>
    </row>
    <row r="93" customFormat="false" ht="15" hidden="false" customHeight="false" outlineLevel="0" collapsed="false">
      <c r="A93" s="11" t="s">
        <v>4</v>
      </c>
      <c r="B93" s="11" t="s">
        <v>135</v>
      </c>
      <c r="C93" s="12" t="n">
        <v>395776</v>
      </c>
      <c r="D93" s="12" t="n">
        <v>396090</v>
      </c>
      <c r="E93" s="13" t="n">
        <f aca="false">C93/Settings!$B$3/86400</f>
        <v>0.152691358024691</v>
      </c>
      <c r="F93" s="13" t="n">
        <f aca="false">D93/Settings!$B$3/86400</f>
        <v>0.1528125</v>
      </c>
      <c r="G93" s="14" t="n">
        <f aca="false">(D93-C93+1)/Settings!$B$3</f>
        <v>10.5</v>
      </c>
      <c r="H93" s="15" t="n">
        <v>3.94</v>
      </c>
      <c r="I93" s="15" t="n">
        <f aca="false">H93/G93</f>
        <v>0.375238095238095</v>
      </c>
      <c r="J93" s="14" t="n">
        <v>95.3</v>
      </c>
      <c r="K93" s="11" t="str">
        <f aca="false">IF(AND(H93&gt;=Settings!$B$11,G93&gt;=Settings!$B$12),"High",IF(H93&gt;=Settings!$B$13,"Medium","Low"))</f>
        <v>High</v>
      </c>
      <c r="L93" s="11" t="s">
        <v>36</v>
      </c>
      <c r="M93" s="16"/>
      <c r="N93" s="16"/>
      <c r="O93" s="16"/>
    </row>
    <row r="94" customFormat="false" ht="15" hidden="false" customHeight="false" outlineLevel="0" collapsed="false">
      <c r="A94" s="11" t="s">
        <v>4</v>
      </c>
      <c r="B94" s="11" t="s">
        <v>136</v>
      </c>
      <c r="C94" s="12" t="n">
        <v>406958</v>
      </c>
      <c r="D94" s="12" t="n">
        <v>407096</v>
      </c>
      <c r="E94" s="13" t="n">
        <f aca="false">C94/Settings!$B$3/86400</f>
        <v>0.157005401234568</v>
      </c>
      <c r="F94" s="13" t="n">
        <f aca="false">D94/Settings!$B$3/86400</f>
        <v>0.157058641975309</v>
      </c>
      <c r="G94" s="14" t="n">
        <f aca="false">(D94-C94+1)/Settings!$B$3</f>
        <v>4.63333333333333</v>
      </c>
      <c r="H94" s="15" t="n">
        <v>1.39</v>
      </c>
      <c r="I94" s="15" t="n">
        <f aca="false">H94/G94</f>
        <v>0.3</v>
      </c>
      <c r="J94" s="14" t="n">
        <v>111</v>
      </c>
      <c r="K94" s="11" t="str">
        <f aca="false">IF(AND(H94&gt;=Settings!$B$11,G94&gt;=Settings!$B$12),"High",IF(H94&gt;=Settings!$B$13,"Medium","Low"))</f>
        <v>Medium</v>
      </c>
      <c r="L94" s="11" t="s">
        <v>36</v>
      </c>
      <c r="M94" s="16"/>
      <c r="N94" s="16"/>
      <c r="O94" s="16"/>
    </row>
    <row r="95" customFormat="false" ht="15" hidden="false" customHeight="false" outlineLevel="0" collapsed="false">
      <c r="A95" s="11" t="s">
        <v>4</v>
      </c>
      <c r="B95" s="11" t="s">
        <v>137</v>
      </c>
      <c r="C95" s="12" t="n">
        <v>407916</v>
      </c>
      <c r="D95" s="12" t="n">
        <v>408289</v>
      </c>
      <c r="E95" s="13" t="n">
        <f aca="false">C95/Settings!$B$3/86400</f>
        <v>0.157375</v>
      </c>
      <c r="F95" s="13" t="n">
        <f aca="false">D95/Settings!$B$3/86400</f>
        <v>0.157518904320988</v>
      </c>
      <c r="G95" s="14" t="n">
        <f aca="false">(D95-C95+1)/Settings!$B$3</f>
        <v>12.4666666666667</v>
      </c>
      <c r="H95" s="15" t="n">
        <v>4.44</v>
      </c>
      <c r="I95" s="15" t="n">
        <f aca="false">H95/G95</f>
        <v>0.356149732620321</v>
      </c>
      <c r="J95" s="14" t="n">
        <v>99.5</v>
      </c>
      <c r="K95" s="11" t="str">
        <f aca="false">IF(AND(H95&gt;=Settings!$B$11,G95&gt;=Settings!$B$12),"High",IF(H95&gt;=Settings!$B$13,"Medium","Low"))</f>
        <v>High</v>
      </c>
      <c r="L95" s="11" t="s">
        <v>36</v>
      </c>
      <c r="M95" s="16"/>
      <c r="N95" s="16"/>
      <c r="O95" s="16"/>
    </row>
    <row r="96" customFormat="false" ht="15" hidden="false" customHeight="false" outlineLevel="0" collapsed="false">
      <c r="A96" s="11" t="s">
        <v>4</v>
      </c>
      <c r="B96" s="11" t="s">
        <v>138</v>
      </c>
      <c r="C96" s="12" t="n">
        <v>420439</v>
      </c>
      <c r="D96" s="12" t="n">
        <v>420645</v>
      </c>
      <c r="E96" s="13" t="n">
        <f aca="false">C96/Settings!$B$3/86400</f>
        <v>0.162206404320988</v>
      </c>
      <c r="F96" s="13" t="n">
        <f aca="false">D96/Settings!$B$3/86400</f>
        <v>0.16228587962963</v>
      </c>
      <c r="G96" s="14" t="n">
        <f aca="false">(D96-C96+1)/Settings!$B$3</f>
        <v>6.9</v>
      </c>
      <c r="H96" s="15" t="n">
        <v>2.3</v>
      </c>
      <c r="I96" s="15" t="n">
        <f aca="false">H96/G96</f>
        <v>0.333333333333333</v>
      </c>
      <c r="J96" s="14" t="n">
        <v>110.7</v>
      </c>
      <c r="K96" s="11" t="str">
        <f aca="false">IF(AND(H96&gt;=Settings!$B$11,G96&gt;=Settings!$B$12),"High",IF(H96&gt;=Settings!$B$13,"Medium","Low"))</f>
        <v>High</v>
      </c>
      <c r="L96" s="11" t="s">
        <v>36</v>
      </c>
      <c r="M96" s="16"/>
      <c r="N96" s="16"/>
      <c r="O96" s="16"/>
    </row>
    <row r="97" customFormat="false" ht="15" hidden="false" customHeight="false" outlineLevel="0" collapsed="false">
      <c r="A97" s="11" t="s">
        <v>4</v>
      </c>
      <c r="B97" s="11" t="s">
        <v>139</v>
      </c>
      <c r="C97" s="12" t="n">
        <v>421069</v>
      </c>
      <c r="D97" s="12" t="n">
        <v>421395</v>
      </c>
      <c r="E97" s="13" t="n">
        <f aca="false">C97/Settings!$B$3/86400</f>
        <v>0.162449459876543</v>
      </c>
      <c r="F97" s="13" t="n">
        <f aca="false">D97/Settings!$B$3/86400</f>
        <v>0.162575231481481</v>
      </c>
      <c r="G97" s="14" t="n">
        <f aca="false">(D97-C97+1)/Settings!$B$3</f>
        <v>10.9</v>
      </c>
      <c r="H97" s="15" t="n">
        <v>2.99</v>
      </c>
      <c r="I97" s="15" t="n">
        <f aca="false">H97/G97</f>
        <v>0.274311926605505</v>
      </c>
      <c r="J97" s="14" t="n">
        <v>101.3</v>
      </c>
      <c r="K97" s="11" t="str">
        <f aca="false">IF(AND(H97&gt;=Settings!$B$11,G97&gt;=Settings!$B$12),"High",IF(H97&gt;=Settings!$B$13,"Medium","Low"))</f>
        <v>High</v>
      </c>
      <c r="L97" s="11" t="s">
        <v>36</v>
      </c>
      <c r="M97" s="16"/>
      <c r="N97" s="16"/>
      <c r="O97" s="16"/>
    </row>
    <row r="98" customFormat="false" ht="15" hidden="false" customHeight="false" outlineLevel="0" collapsed="false">
      <c r="A98" s="11" t="s">
        <v>4</v>
      </c>
      <c r="B98" s="11" t="s">
        <v>140</v>
      </c>
      <c r="C98" s="12" t="n">
        <v>422648</v>
      </c>
      <c r="D98" s="12" t="n">
        <v>422800</v>
      </c>
      <c r="E98" s="13" t="n">
        <f aca="false">C98/Settings!$B$3/86400</f>
        <v>0.163058641975309</v>
      </c>
      <c r="F98" s="13" t="n">
        <f aca="false">D98/Settings!$B$3/86400</f>
        <v>0.163117283950617</v>
      </c>
      <c r="G98" s="14" t="n">
        <f aca="false">(D98-C98+1)/Settings!$B$3</f>
        <v>5.1</v>
      </c>
      <c r="H98" s="15" t="n">
        <v>1.57</v>
      </c>
      <c r="I98" s="15" t="n">
        <f aca="false">H98/G98</f>
        <v>0.307843137254902</v>
      </c>
      <c r="J98" s="14" t="n">
        <v>106.5</v>
      </c>
      <c r="K98" s="11" t="str">
        <f aca="false">IF(AND(H98&gt;=Settings!$B$11,G98&gt;=Settings!$B$12),"High",IF(H98&gt;=Settings!$B$13,"Medium","Low"))</f>
        <v>High</v>
      </c>
      <c r="L98" s="11" t="s">
        <v>36</v>
      </c>
      <c r="M98" s="16"/>
      <c r="N98" s="16"/>
      <c r="O98" s="16"/>
    </row>
    <row r="99" customFormat="false" ht="15" hidden="false" customHeight="false" outlineLevel="0" collapsed="false">
      <c r="A99" s="11" t="s">
        <v>4</v>
      </c>
      <c r="B99" s="11" t="s">
        <v>141</v>
      </c>
      <c r="C99" s="12" t="n">
        <v>423431</v>
      </c>
      <c r="D99" s="12" t="n">
        <v>423638</v>
      </c>
      <c r="E99" s="13" t="n">
        <f aca="false">C99/Settings!$B$3/86400</f>
        <v>0.163360725308642</v>
      </c>
      <c r="F99" s="13" t="n">
        <f aca="false">D99/Settings!$B$3/86400</f>
        <v>0.163440586419753</v>
      </c>
      <c r="G99" s="14" t="n">
        <f aca="false">(D99-C99+1)/Settings!$B$3</f>
        <v>6.93333333333333</v>
      </c>
      <c r="H99" s="15" t="n">
        <v>1.98</v>
      </c>
      <c r="I99" s="15" t="n">
        <f aca="false">H99/G99</f>
        <v>0.285576923076923</v>
      </c>
      <c r="J99" s="14" t="n">
        <v>94.2</v>
      </c>
      <c r="K99" s="11" t="str">
        <f aca="false">IF(AND(H99&gt;=Settings!$B$11,G99&gt;=Settings!$B$12),"High",IF(H99&gt;=Settings!$B$13,"Medium","Low"))</f>
        <v>High</v>
      </c>
      <c r="L99" s="11" t="s">
        <v>36</v>
      </c>
      <c r="M99" s="16"/>
      <c r="N99" s="16"/>
      <c r="O99" s="16"/>
    </row>
    <row r="100" customFormat="false" ht="15" hidden="false" customHeight="false" outlineLevel="0" collapsed="false">
      <c r="A100" s="11" t="s">
        <v>4</v>
      </c>
      <c r="B100" s="11" t="s">
        <v>142</v>
      </c>
      <c r="C100" s="12" t="n">
        <v>424023</v>
      </c>
      <c r="D100" s="12" t="n">
        <v>424210</v>
      </c>
      <c r="E100" s="13" t="n">
        <f aca="false">C100/Settings!$B$3/86400</f>
        <v>0.16358912037037</v>
      </c>
      <c r="F100" s="13" t="n">
        <f aca="false">D100/Settings!$B$3/86400</f>
        <v>0.163661265432099</v>
      </c>
      <c r="G100" s="14" t="n">
        <f aca="false">(D100-C100+1)/Settings!$B$3</f>
        <v>6.26666666666667</v>
      </c>
      <c r="H100" s="15" t="n">
        <v>1.66</v>
      </c>
      <c r="I100" s="15" t="n">
        <f aca="false">H100/G100</f>
        <v>0.264893617021277</v>
      </c>
      <c r="J100" s="14" t="n">
        <v>98.1</v>
      </c>
      <c r="K100" s="11" t="str">
        <f aca="false">IF(AND(H100&gt;=Settings!$B$11,G100&gt;=Settings!$B$12),"High",IF(H100&gt;=Settings!$B$13,"Medium","Low"))</f>
        <v>High</v>
      </c>
      <c r="L100" s="11" t="s">
        <v>36</v>
      </c>
      <c r="M100" s="16"/>
      <c r="N100" s="16"/>
      <c r="O100" s="16"/>
    </row>
    <row r="101" customFormat="false" ht="15" hidden="false" customHeight="false" outlineLevel="0" collapsed="false">
      <c r="A101" s="11" t="s">
        <v>4</v>
      </c>
      <c r="B101" s="11" t="s">
        <v>143</v>
      </c>
      <c r="C101" s="12" t="n">
        <v>425305</v>
      </c>
      <c r="D101" s="12" t="n">
        <v>425709</v>
      </c>
      <c r="E101" s="13" t="n">
        <f aca="false">C101/Settings!$B$3/86400</f>
        <v>0.164083719135802</v>
      </c>
      <c r="F101" s="13" t="n">
        <f aca="false">D101/Settings!$B$3/86400</f>
        <v>0.164239583333333</v>
      </c>
      <c r="G101" s="14" t="n">
        <f aca="false">(D101-C101+1)/Settings!$B$3</f>
        <v>13.5</v>
      </c>
      <c r="H101" s="15" t="n">
        <v>4.26</v>
      </c>
      <c r="I101" s="15" t="n">
        <f aca="false">H101/G101</f>
        <v>0.315555555555556</v>
      </c>
      <c r="J101" s="14" t="n">
        <v>111</v>
      </c>
      <c r="K101" s="11" t="str">
        <f aca="false">IF(AND(H101&gt;=Settings!$B$11,G101&gt;=Settings!$B$12),"High",IF(H101&gt;=Settings!$B$13,"Medium","Low"))</f>
        <v>High</v>
      </c>
      <c r="L101" s="11" t="s">
        <v>36</v>
      </c>
      <c r="M101" s="16"/>
      <c r="N101" s="16"/>
      <c r="O101" s="16"/>
    </row>
    <row r="102" customFormat="false" ht="15" hidden="false" customHeight="false" outlineLevel="0" collapsed="false">
      <c r="A102" s="11" t="s">
        <v>4</v>
      </c>
      <c r="B102" s="11" t="s">
        <v>144</v>
      </c>
      <c r="C102" s="12" t="n">
        <v>426790</v>
      </c>
      <c r="D102" s="12" t="n">
        <v>427172</v>
      </c>
      <c r="E102" s="13" t="n">
        <f aca="false">C102/Settings!$B$3/86400</f>
        <v>0.164656635802469</v>
      </c>
      <c r="F102" s="13" t="n">
        <f aca="false">D102/Settings!$B$3/86400</f>
        <v>0.164804012345679</v>
      </c>
      <c r="G102" s="14" t="n">
        <f aca="false">(D102-C102+1)/Settings!$B$3</f>
        <v>12.7666666666667</v>
      </c>
      <c r="H102" s="15" t="n">
        <v>3.94</v>
      </c>
      <c r="I102" s="15" t="n">
        <f aca="false">H102/G102</f>
        <v>0.308616187989556</v>
      </c>
      <c r="J102" s="14" t="n">
        <v>107</v>
      </c>
      <c r="K102" s="11" t="str">
        <f aca="false">IF(AND(H102&gt;=Settings!$B$11,G102&gt;=Settings!$B$12),"High",IF(H102&gt;=Settings!$B$13,"Medium","Low"))</f>
        <v>High</v>
      </c>
      <c r="L102" s="11" t="s">
        <v>36</v>
      </c>
      <c r="M102" s="16"/>
      <c r="N102" s="16"/>
      <c r="O102" s="16"/>
    </row>
    <row r="103" customFormat="false" ht="15" hidden="false" customHeight="false" outlineLevel="0" collapsed="false">
      <c r="A103" s="11" t="s">
        <v>4</v>
      </c>
      <c r="B103" s="11" t="s">
        <v>145</v>
      </c>
      <c r="C103" s="12" t="n">
        <v>428136</v>
      </c>
      <c r="D103" s="12" t="n">
        <v>428398</v>
      </c>
      <c r="E103" s="13" t="n">
        <f aca="false">C103/Settings!$B$3/86400</f>
        <v>0.165175925925926</v>
      </c>
      <c r="F103" s="13" t="n">
        <f aca="false">D103/Settings!$B$3/86400</f>
        <v>0.16527700617284</v>
      </c>
      <c r="G103" s="14" t="n">
        <f aca="false">(D103-C103+1)/Settings!$B$3</f>
        <v>8.76666666666667</v>
      </c>
      <c r="H103" s="15" t="n">
        <v>2.85</v>
      </c>
      <c r="I103" s="15" t="n">
        <f aca="false">H103/G103</f>
        <v>0.325095057034221</v>
      </c>
      <c r="J103" s="14" t="n">
        <v>92.7</v>
      </c>
      <c r="K103" s="11" t="str">
        <f aca="false">IF(AND(H103&gt;=Settings!$B$11,G103&gt;=Settings!$B$12),"High",IF(H103&gt;=Settings!$B$13,"Medium","Low"))</f>
        <v>High</v>
      </c>
      <c r="L103" s="11" t="s">
        <v>36</v>
      </c>
      <c r="M103" s="16"/>
      <c r="N103" s="16"/>
      <c r="O103" s="16"/>
    </row>
    <row r="104" customFormat="false" ht="15" hidden="false" customHeight="false" outlineLevel="0" collapsed="false">
      <c r="A104" s="11" t="s">
        <v>4</v>
      </c>
      <c r="B104" s="11" t="s">
        <v>146</v>
      </c>
      <c r="C104" s="12" t="n">
        <v>429297</v>
      </c>
      <c r="D104" s="12" t="n">
        <v>429555</v>
      </c>
      <c r="E104" s="13" t="n">
        <f aca="false">C104/Settings!$B$3/86400</f>
        <v>0.165623842592593</v>
      </c>
      <c r="F104" s="13" t="n">
        <f aca="false">D104/Settings!$B$3/86400</f>
        <v>0.16572337962963</v>
      </c>
      <c r="G104" s="14" t="n">
        <f aca="false">(D104-C104+1)/Settings!$B$3</f>
        <v>8.63333333333333</v>
      </c>
      <c r="H104" s="15" t="n">
        <v>2.73</v>
      </c>
      <c r="I104" s="15" t="n">
        <f aca="false">H104/G104</f>
        <v>0.316216216216216</v>
      </c>
      <c r="J104" s="14" t="n">
        <v>89.1</v>
      </c>
      <c r="K104" s="11" t="str">
        <f aca="false">IF(AND(H104&gt;=Settings!$B$11,G104&gt;=Settings!$B$12),"High",IF(H104&gt;=Settings!$B$13,"Medium","Low"))</f>
        <v>High</v>
      </c>
      <c r="L104" s="11" t="s">
        <v>36</v>
      </c>
      <c r="M104" s="16"/>
      <c r="N104" s="16"/>
      <c r="O104" s="16"/>
    </row>
    <row r="105" customFormat="false" ht="15" hidden="false" customHeight="false" outlineLevel="0" collapsed="false">
      <c r="A105" s="11" t="s">
        <v>4</v>
      </c>
      <c r="B105" s="11" t="s">
        <v>147</v>
      </c>
      <c r="C105" s="12" t="n">
        <v>431202</v>
      </c>
      <c r="D105" s="12" t="n">
        <v>431490</v>
      </c>
      <c r="E105" s="13" t="n">
        <f aca="false">C105/Settings!$B$3/86400</f>
        <v>0.166358796296296</v>
      </c>
      <c r="F105" s="13" t="n">
        <f aca="false">D105/Settings!$B$3/86400</f>
        <v>0.166469907407407</v>
      </c>
      <c r="G105" s="14" t="n">
        <f aca="false">(D105-C105+1)/Settings!$B$3</f>
        <v>9.63333333333333</v>
      </c>
      <c r="H105" s="15" t="n">
        <v>2.88</v>
      </c>
      <c r="I105" s="15" t="n">
        <f aca="false">H105/G105</f>
        <v>0.298961937716263</v>
      </c>
      <c r="J105" s="14" t="n">
        <v>105</v>
      </c>
      <c r="K105" s="11" t="str">
        <f aca="false">IF(AND(H105&gt;=Settings!$B$11,G105&gt;=Settings!$B$12),"High",IF(H105&gt;=Settings!$B$13,"Medium","Low"))</f>
        <v>High</v>
      </c>
      <c r="L105" s="11" t="s">
        <v>36</v>
      </c>
      <c r="M105" s="16"/>
      <c r="N105" s="16"/>
      <c r="O105" s="16"/>
    </row>
    <row r="106" customFormat="false" ht="15" hidden="false" customHeight="false" outlineLevel="0" collapsed="false">
      <c r="A106" s="11" t="s">
        <v>4</v>
      </c>
      <c r="B106" s="11" t="s">
        <v>148</v>
      </c>
      <c r="C106" s="12" t="n">
        <v>431658</v>
      </c>
      <c r="D106" s="12" t="n">
        <v>432218</v>
      </c>
      <c r="E106" s="13" t="n">
        <f aca="false">C106/Settings!$B$3/86400</f>
        <v>0.166534722222222</v>
      </c>
      <c r="F106" s="13" t="n">
        <f aca="false">D106/Settings!$B$3/86400</f>
        <v>0.166750771604938</v>
      </c>
      <c r="G106" s="14" t="n">
        <f aca="false">(D106-C106+1)/Settings!$B$3</f>
        <v>18.7</v>
      </c>
      <c r="H106" s="15" t="n">
        <v>6.26</v>
      </c>
      <c r="I106" s="15" t="n">
        <f aca="false">H106/G106</f>
        <v>0.33475935828877</v>
      </c>
      <c r="J106" s="14" t="n">
        <v>94.8</v>
      </c>
      <c r="K106" s="11" t="str">
        <f aca="false">IF(AND(H106&gt;=Settings!$B$11,G106&gt;=Settings!$B$12),"High",IF(H106&gt;=Settings!$B$13,"Medium","Low"))</f>
        <v>High</v>
      </c>
      <c r="L106" s="11" t="s">
        <v>36</v>
      </c>
      <c r="M106" s="16"/>
      <c r="N106" s="16"/>
      <c r="O106" s="16"/>
    </row>
    <row r="107" customFormat="false" ht="15" hidden="false" customHeight="false" outlineLevel="0" collapsed="false">
      <c r="A107" s="11" t="s">
        <v>4</v>
      </c>
      <c r="B107" s="11" t="s">
        <v>149</v>
      </c>
      <c r="C107" s="12" t="n">
        <v>432760</v>
      </c>
      <c r="D107" s="12" t="n">
        <v>433039</v>
      </c>
      <c r="E107" s="13" t="n">
        <f aca="false">C107/Settings!$B$3/86400</f>
        <v>0.16695987654321</v>
      </c>
      <c r="F107" s="13" t="n">
        <f aca="false">D107/Settings!$B$3/86400</f>
        <v>0.167067515432099</v>
      </c>
      <c r="G107" s="14" t="n">
        <f aca="false">(D107-C107+1)/Settings!$B$3</f>
        <v>9.33333333333333</v>
      </c>
      <c r="H107" s="15" t="n">
        <v>2.61</v>
      </c>
      <c r="I107" s="15" t="n">
        <f aca="false">H107/G107</f>
        <v>0.279642857142857</v>
      </c>
      <c r="J107" s="14" t="n">
        <v>94.3</v>
      </c>
      <c r="K107" s="11" t="str">
        <f aca="false">IF(AND(H107&gt;=Settings!$B$11,G107&gt;=Settings!$B$12),"High",IF(H107&gt;=Settings!$B$13,"Medium","Low"))</f>
        <v>High</v>
      </c>
      <c r="L107" s="11" t="s">
        <v>36</v>
      </c>
      <c r="M107" s="16"/>
      <c r="N107" s="16"/>
      <c r="O107" s="16"/>
    </row>
    <row r="108" customFormat="false" ht="15" hidden="false" customHeight="false" outlineLevel="0" collapsed="false">
      <c r="A108" s="11" t="s">
        <v>4</v>
      </c>
      <c r="B108" s="11" t="s">
        <v>150</v>
      </c>
      <c r="C108" s="12" t="n">
        <v>434989</v>
      </c>
      <c r="D108" s="12" t="n">
        <v>435450</v>
      </c>
      <c r="E108" s="13" t="n">
        <f aca="false">C108/Settings!$B$3/86400</f>
        <v>0.167819830246914</v>
      </c>
      <c r="F108" s="13" t="n">
        <f aca="false">D108/Settings!$B$3/86400</f>
        <v>0.167997685185185</v>
      </c>
      <c r="G108" s="14" t="n">
        <f aca="false">(D108-C108+1)/Settings!$B$3</f>
        <v>15.4</v>
      </c>
      <c r="H108" s="15" t="n">
        <v>5.46</v>
      </c>
      <c r="I108" s="15" t="n">
        <f aca="false">H108/G108</f>
        <v>0.354545454545455</v>
      </c>
      <c r="J108" s="14" t="n">
        <v>106.7</v>
      </c>
      <c r="K108" s="11" t="str">
        <f aca="false">IF(AND(H108&gt;=Settings!$B$11,G108&gt;=Settings!$B$12),"High",IF(H108&gt;=Settings!$B$13,"Medium","Low"))</f>
        <v>High</v>
      </c>
      <c r="L108" s="11" t="s">
        <v>36</v>
      </c>
      <c r="M108" s="16"/>
      <c r="N108" s="16"/>
      <c r="O108" s="16"/>
    </row>
    <row r="109" customFormat="false" ht="15" hidden="false" customHeight="false" outlineLevel="0" collapsed="false">
      <c r="A109" s="11" t="s">
        <v>4</v>
      </c>
      <c r="B109" s="11" t="s">
        <v>151</v>
      </c>
      <c r="C109" s="12" t="n">
        <v>436605</v>
      </c>
      <c r="D109" s="12" t="n">
        <v>436908</v>
      </c>
      <c r="E109" s="13" t="n">
        <f aca="false">C109/Settings!$B$3/86400</f>
        <v>0.168443287037037</v>
      </c>
      <c r="F109" s="13" t="n">
        <f aca="false">D109/Settings!$B$3/86400</f>
        <v>0.168560185185185</v>
      </c>
      <c r="G109" s="14" t="n">
        <f aca="false">(D109-C109+1)/Settings!$B$3</f>
        <v>10.1333333333333</v>
      </c>
      <c r="H109" s="15" t="n">
        <v>3.05</v>
      </c>
      <c r="I109" s="15" t="n">
        <f aca="false">H109/G109</f>
        <v>0.300986842105263</v>
      </c>
      <c r="J109" s="14" t="n">
        <v>98.1</v>
      </c>
      <c r="K109" s="11" t="str">
        <f aca="false">IF(AND(H109&gt;=Settings!$B$11,G109&gt;=Settings!$B$12),"High",IF(H109&gt;=Settings!$B$13,"Medium","Low"))</f>
        <v>High</v>
      </c>
      <c r="L109" s="17" t="s">
        <v>72</v>
      </c>
      <c r="M109" s="16"/>
      <c r="N109" s="16"/>
      <c r="O109" s="16"/>
    </row>
    <row r="110" customFormat="false" ht="15" hidden="false" customHeight="false" outlineLevel="0" collapsed="false">
      <c r="A110" s="11" t="s">
        <v>4</v>
      </c>
      <c r="B110" s="11" t="s">
        <v>152</v>
      </c>
      <c r="C110" s="12" t="n">
        <v>437187</v>
      </c>
      <c r="D110" s="12" t="n">
        <v>437443</v>
      </c>
      <c r="E110" s="13" t="n">
        <f aca="false">C110/Settings!$B$3/86400</f>
        <v>0.168667824074074</v>
      </c>
      <c r="F110" s="13" t="n">
        <f aca="false">D110/Settings!$B$3/86400</f>
        <v>0.168766589506173</v>
      </c>
      <c r="G110" s="14" t="n">
        <f aca="false">(D110-C110+1)/Settings!$B$3</f>
        <v>8.56666666666667</v>
      </c>
      <c r="H110" s="15" t="n">
        <v>2.43</v>
      </c>
      <c r="I110" s="15" t="n">
        <f aca="false">H110/G110</f>
        <v>0.283657587548638</v>
      </c>
      <c r="J110" s="14" t="n">
        <v>113.9</v>
      </c>
      <c r="K110" s="11" t="str">
        <f aca="false">IF(AND(H110&gt;=Settings!$B$11,G110&gt;=Settings!$B$12),"High",IF(H110&gt;=Settings!$B$13,"Medium","Low"))</f>
        <v>High</v>
      </c>
      <c r="L110" s="17" t="s">
        <v>74</v>
      </c>
      <c r="M110" s="16"/>
      <c r="N110" s="16"/>
      <c r="O110" s="16"/>
    </row>
    <row r="111" customFormat="false" ht="15" hidden="false" customHeight="false" outlineLevel="0" collapsed="false">
      <c r="A111" s="11" t="s">
        <v>4</v>
      </c>
      <c r="B111" s="11" t="s">
        <v>153</v>
      </c>
      <c r="C111" s="12" t="n">
        <v>439461</v>
      </c>
      <c r="D111" s="12" t="n">
        <v>440094</v>
      </c>
      <c r="E111" s="13" t="n">
        <f aca="false">C111/Settings!$B$3/86400</f>
        <v>0.169545138888889</v>
      </c>
      <c r="F111" s="13" t="n">
        <f aca="false">D111/Settings!$B$3/86400</f>
        <v>0.169789351851852</v>
      </c>
      <c r="G111" s="14" t="n">
        <f aca="false">(D111-C111+1)/Settings!$B$3</f>
        <v>21.1333333333333</v>
      </c>
      <c r="H111" s="15" t="n">
        <v>6.62</v>
      </c>
      <c r="I111" s="15" t="n">
        <f aca="false">H111/G111</f>
        <v>0.313249211356467</v>
      </c>
      <c r="J111" s="14" t="n">
        <v>98.2</v>
      </c>
      <c r="K111" s="11" t="str">
        <f aca="false">IF(AND(H111&gt;=Settings!$B$11,G111&gt;=Settings!$B$12),"High",IF(H111&gt;=Settings!$B$13,"Medium","Low"))</f>
        <v>High</v>
      </c>
      <c r="L111" s="11" t="s">
        <v>36</v>
      </c>
      <c r="M111" s="16"/>
      <c r="N111" s="16"/>
      <c r="O111" s="16"/>
    </row>
    <row r="112" customFormat="false" ht="15" hidden="false" customHeight="false" outlineLevel="0" collapsed="false">
      <c r="A112" s="11" t="s">
        <v>4</v>
      </c>
      <c r="B112" s="11" t="s">
        <v>154</v>
      </c>
      <c r="C112" s="12" t="n">
        <v>441663</v>
      </c>
      <c r="D112" s="12" t="n">
        <v>441770</v>
      </c>
      <c r="E112" s="13" t="n">
        <f aca="false">C112/Settings!$B$3/86400</f>
        <v>0.170394675925926</v>
      </c>
      <c r="F112" s="13" t="n">
        <f aca="false">D112/Settings!$B$3/86400</f>
        <v>0.170435956790123</v>
      </c>
      <c r="G112" s="14" t="n">
        <f aca="false">(D112-C112+1)/Settings!$B$3</f>
        <v>3.6</v>
      </c>
      <c r="H112" s="15" t="n">
        <v>0.79</v>
      </c>
      <c r="I112" s="15" t="n">
        <f aca="false">H112/G112</f>
        <v>0.219444444444444</v>
      </c>
      <c r="J112" s="14" t="n">
        <v>128.8</v>
      </c>
      <c r="K112" s="11" t="str">
        <f aca="false">IF(AND(H112&gt;=Settings!$B$11,G112&gt;=Settings!$B$12),"High",IF(H112&gt;=Settings!$B$13,"Medium","Low"))</f>
        <v>Low</v>
      </c>
      <c r="L112" s="11" t="s">
        <v>36</v>
      </c>
      <c r="M112" s="16"/>
      <c r="N112" s="16"/>
      <c r="O112" s="16"/>
    </row>
    <row r="113" customFormat="false" ht="15" hidden="false" customHeight="false" outlineLevel="0" collapsed="false">
      <c r="A113" s="11" t="s">
        <v>4</v>
      </c>
      <c r="B113" s="11" t="s">
        <v>155</v>
      </c>
      <c r="C113" s="12" t="n">
        <v>441903</v>
      </c>
      <c r="D113" s="12" t="n">
        <v>442311</v>
      </c>
      <c r="E113" s="13" t="n">
        <f aca="false">C113/Settings!$B$3/86400</f>
        <v>0.170487268518519</v>
      </c>
      <c r="F113" s="13" t="n">
        <f aca="false">D113/Settings!$B$3/86400</f>
        <v>0.170644675925926</v>
      </c>
      <c r="G113" s="14" t="n">
        <f aca="false">(D113-C113+1)/Settings!$B$3</f>
        <v>13.6333333333333</v>
      </c>
      <c r="H113" s="15" t="n">
        <v>4.22</v>
      </c>
      <c r="I113" s="15" t="n">
        <f aca="false">H113/G113</f>
        <v>0.309535452322738</v>
      </c>
      <c r="J113" s="14" t="n">
        <v>90.4</v>
      </c>
      <c r="K113" s="11" t="str">
        <f aca="false">IF(AND(H113&gt;=Settings!$B$11,G113&gt;=Settings!$B$12),"High",IF(H113&gt;=Settings!$B$13,"Medium","Low"))</f>
        <v>High</v>
      </c>
      <c r="L113" s="11" t="s">
        <v>36</v>
      </c>
      <c r="M113" s="16"/>
      <c r="N113" s="16"/>
      <c r="O113" s="16"/>
    </row>
    <row r="114" customFormat="false" ht="15" hidden="false" customHeight="false" outlineLevel="0" collapsed="false">
      <c r="A114" s="11" t="s">
        <v>4</v>
      </c>
      <c r="B114" s="11" t="s">
        <v>156</v>
      </c>
      <c r="C114" s="12" t="n">
        <v>444555</v>
      </c>
      <c r="D114" s="12" t="n">
        <v>444642</v>
      </c>
      <c r="E114" s="13" t="n">
        <f aca="false">C114/Settings!$B$3/86400</f>
        <v>0.171510416666667</v>
      </c>
      <c r="F114" s="13" t="n">
        <f aca="false">D114/Settings!$B$3/86400</f>
        <v>0.171543981481481</v>
      </c>
      <c r="G114" s="14" t="n">
        <f aca="false">(D114-C114+1)/Settings!$B$3</f>
        <v>2.93333333333333</v>
      </c>
      <c r="H114" s="15" t="n">
        <v>0.68</v>
      </c>
      <c r="I114" s="15" t="n">
        <f aca="false">H114/G114</f>
        <v>0.231818181818182</v>
      </c>
      <c r="J114" s="14" t="n">
        <v>129.3</v>
      </c>
      <c r="K114" s="11" t="str">
        <f aca="false">IF(AND(H114&gt;=Settings!$B$11,G114&gt;=Settings!$B$12),"High",IF(H114&gt;=Settings!$B$13,"Medium","Low"))</f>
        <v>Low</v>
      </c>
      <c r="L114" s="11" t="s">
        <v>36</v>
      </c>
      <c r="M114" s="16"/>
      <c r="N114" s="16"/>
      <c r="O114" s="16"/>
    </row>
    <row r="115" customFormat="false" ht="15" hidden="false" customHeight="false" outlineLevel="0" collapsed="false">
      <c r="A115" s="11" t="s">
        <v>4</v>
      </c>
      <c r="B115" s="11" t="s">
        <v>157</v>
      </c>
      <c r="C115" s="12" t="n">
        <v>445473</v>
      </c>
      <c r="D115" s="12" t="n">
        <v>445659</v>
      </c>
      <c r="E115" s="13" t="n">
        <f aca="false">C115/Settings!$B$3/86400</f>
        <v>0.171864583333333</v>
      </c>
      <c r="F115" s="13" t="n">
        <f aca="false">D115/Settings!$B$3/86400</f>
        <v>0.171936342592593</v>
      </c>
      <c r="G115" s="14" t="n">
        <f aca="false">(D115-C115+1)/Settings!$B$3</f>
        <v>6.23333333333333</v>
      </c>
      <c r="H115" s="15" t="n">
        <v>1.82</v>
      </c>
      <c r="I115" s="15" t="n">
        <f aca="false">H115/G115</f>
        <v>0.291978609625668</v>
      </c>
      <c r="J115" s="14" t="n">
        <v>107</v>
      </c>
      <c r="K115" s="11" t="str">
        <f aca="false">IF(AND(H115&gt;=Settings!$B$11,G115&gt;=Settings!$B$12),"High",IF(H115&gt;=Settings!$B$13,"Medium","Low"))</f>
        <v>High</v>
      </c>
      <c r="L115" s="11" t="s">
        <v>36</v>
      </c>
      <c r="M115" s="16"/>
      <c r="N115" s="16"/>
      <c r="O115" s="16"/>
    </row>
    <row r="116" customFormat="false" ht="15" hidden="false" customHeight="false" outlineLevel="0" collapsed="false">
      <c r="A116" s="11" t="s">
        <v>4</v>
      </c>
      <c r="B116" s="11" t="s">
        <v>158</v>
      </c>
      <c r="C116" s="12" t="n">
        <v>448923</v>
      </c>
      <c r="D116" s="12" t="n">
        <v>449469</v>
      </c>
      <c r="E116" s="13" t="n">
        <f aca="false">C116/Settings!$B$3/86400</f>
        <v>0.173195601851852</v>
      </c>
      <c r="F116" s="13" t="n">
        <f aca="false">D116/Settings!$B$3/86400</f>
        <v>0.17340625</v>
      </c>
      <c r="G116" s="14" t="n">
        <f aca="false">(D116-C116+1)/Settings!$B$3</f>
        <v>18.2333333333333</v>
      </c>
      <c r="H116" s="15" t="n">
        <v>5.35</v>
      </c>
      <c r="I116" s="15" t="n">
        <f aca="false">H116/G116</f>
        <v>0.293418647166362</v>
      </c>
      <c r="J116" s="14" t="n">
        <v>93</v>
      </c>
      <c r="K116" s="11" t="str">
        <f aca="false">IF(AND(H116&gt;=Settings!$B$11,G116&gt;=Settings!$B$12),"High",IF(H116&gt;=Settings!$B$13,"Medium","Low"))</f>
        <v>High</v>
      </c>
      <c r="L116" s="11" t="s">
        <v>36</v>
      </c>
      <c r="M116" s="16"/>
      <c r="N116" s="16"/>
      <c r="O116" s="16"/>
    </row>
    <row r="117" customFormat="false" ht="15" hidden="false" customHeight="false" outlineLevel="0" collapsed="false">
      <c r="A117" s="11" t="s">
        <v>4</v>
      </c>
      <c r="B117" s="11" t="s">
        <v>159</v>
      </c>
      <c r="C117" s="12" t="n">
        <v>450545</v>
      </c>
      <c r="D117" s="12" t="n">
        <v>451214</v>
      </c>
      <c r="E117" s="13" t="n">
        <f aca="false">C117/Settings!$B$3/86400</f>
        <v>0.17382137345679</v>
      </c>
      <c r="F117" s="13" t="n">
        <f aca="false">D117/Settings!$B$3/86400</f>
        <v>0.174079475308642</v>
      </c>
      <c r="G117" s="14" t="n">
        <f aca="false">(D117-C117+1)/Settings!$B$3</f>
        <v>22.3333333333333</v>
      </c>
      <c r="H117" s="15" t="n">
        <v>6.39</v>
      </c>
      <c r="I117" s="15" t="n">
        <f aca="false">H117/G117</f>
        <v>0.286119402985075</v>
      </c>
      <c r="J117" s="14" t="n">
        <v>119.4</v>
      </c>
      <c r="K117" s="11" t="str">
        <f aca="false">IF(AND(H117&gt;=Settings!$B$11,G117&gt;=Settings!$B$12),"High",IF(H117&gt;=Settings!$B$13,"Medium","Low"))</f>
        <v>High</v>
      </c>
      <c r="L117" s="11" t="s">
        <v>36</v>
      </c>
      <c r="M117" s="16"/>
      <c r="N117" s="16"/>
      <c r="O117" s="16"/>
    </row>
    <row r="118" customFormat="false" ht="15" hidden="false" customHeight="false" outlineLevel="0" collapsed="false">
      <c r="A118" s="11" t="s">
        <v>4</v>
      </c>
      <c r="B118" s="11" t="s">
        <v>160</v>
      </c>
      <c r="C118" s="12" t="n">
        <v>462470</v>
      </c>
      <c r="D118" s="12" t="n">
        <v>462744</v>
      </c>
      <c r="E118" s="13" t="n">
        <f aca="false">C118/Settings!$B$3/86400</f>
        <v>0.178422067901235</v>
      </c>
      <c r="F118" s="13" t="n">
        <f aca="false">D118/Settings!$B$3/86400</f>
        <v>0.178527777777778</v>
      </c>
      <c r="G118" s="14" t="n">
        <f aca="false">(D118-C118+1)/Settings!$B$3</f>
        <v>9.16666666666667</v>
      </c>
      <c r="H118" s="15" t="n">
        <v>2.26</v>
      </c>
      <c r="I118" s="15" t="n">
        <f aca="false">H118/G118</f>
        <v>0.246545454545455</v>
      </c>
      <c r="J118" s="14" t="n">
        <v>125.9</v>
      </c>
      <c r="K118" s="11" t="str">
        <f aca="false">IF(AND(H118&gt;=Settings!$B$11,G118&gt;=Settings!$B$12),"High",IF(H118&gt;=Settings!$B$13,"Medium","Low"))</f>
        <v>High</v>
      </c>
      <c r="L118" s="11" t="s">
        <v>36</v>
      </c>
      <c r="M118" s="16"/>
      <c r="N118" s="16"/>
      <c r="O118" s="16"/>
    </row>
    <row r="119" customFormat="false" ht="15" hidden="false" customHeight="false" outlineLevel="0" collapsed="false">
      <c r="A119" s="11" t="s">
        <v>4</v>
      </c>
      <c r="B119" s="11" t="s">
        <v>161</v>
      </c>
      <c r="C119" s="12" t="n">
        <v>465794</v>
      </c>
      <c r="D119" s="12" t="n">
        <v>466040</v>
      </c>
      <c r="E119" s="13" t="n">
        <f aca="false">C119/Settings!$B$3/86400</f>
        <v>0.179704475308642</v>
      </c>
      <c r="F119" s="13" t="n">
        <f aca="false">D119/Settings!$B$3/86400</f>
        <v>0.179799382716049</v>
      </c>
      <c r="G119" s="14" t="n">
        <f aca="false">(D119-C119+1)/Settings!$B$3</f>
        <v>8.23333333333333</v>
      </c>
      <c r="H119" s="15" t="n">
        <v>2.42</v>
      </c>
      <c r="I119" s="15" t="n">
        <f aca="false">H119/G119</f>
        <v>0.293927125506073</v>
      </c>
      <c r="J119" s="14" t="n">
        <v>100.2</v>
      </c>
      <c r="K119" s="11" t="str">
        <f aca="false">IF(AND(H119&gt;=Settings!$B$11,G119&gt;=Settings!$B$12),"High",IF(H119&gt;=Settings!$B$13,"Medium","Low"))</f>
        <v>High</v>
      </c>
      <c r="L119" s="11" t="s">
        <v>36</v>
      </c>
      <c r="M119" s="16"/>
      <c r="N119" s="16"/>
      <c r="O119" s="16"/>
    </row>
    <row r="120" customFormat="false" ht="15" hidden="false" customHeight="false" outlineLevel="0" collapsed="false">
      <c r="A120" s="11" t="s">
        <v>4</v>
      </c>
      <c r="B120" s="11" t="s">
        <v>162</v>
      </c>
      <c r="C120" s="12" t="n">
        <v>466308</v>
      </c>
      <c r="D120" s="12" t="n">
        <v>466576</v>
      </c>
      <c r="E120" s="13" t="n">
        <f aca="false">C120/Settings!$B$3/86400</f>
        <v>0.179902777777778</v>
      </c>
      <c r="F120" s="13" t="n">
        <f aca="false">D120/Settings!$B$3/86400</f>
        <v>0.180006172839506</v>
      </c>
      <c r="G120" s="14" t="n">
        <f aca="false">(D120-C120+1)/Settings!$B$3</f>
        <v>8.96666666666667</v>
      </c>
      <c r="H120" s="15" t="n">
        <v>2.82</v>
      </c>
      <c r="I120" s="15" t="n">
        <f aca="false">H120/G120</f>
        <v>0.314498141263941</v>
      </c>
      <c r="J120" s="14" t="n">
        <v>100.4</v>
      </c>
      <c r="K120" s="11" t="str">
        <f aca="false">IF(AND(H120&gt;=Settings!$B$11,G120&gt;=Settings!$B$12),"High",IF(H120&gt;=Settings!$B$13,"Medium","Low"))</f>
        <v>High</v>
      </c>
      <c r="L120" s="11" t="s">
        <v>36</v>
      </c>
      <c r="M120" s="16"/>
      <c r="N120" s="16"/>
      <c r="O120" s="16"/>
    </row>
    <row r="121" customFormat="false" ht="15" hidden="false" customHeight="false" outlineLevel="0" collapsed="false">
      <c r="A121" s="11" t="s">
        <v>4</v>
      </c>
      <c r="B121" s="11" t="s">
        <v>163</v>
      </c>
      <c r="C121" s="12" t="n">
        <v>466955</v>
      </c>
      <c r="D121" s="12" t="n">
        <v>467921</v>
      </c>
      <c r="E121" s="13" t="n">
        <f aca="false">C121/Settings!$B$3/86400</f>
        <v>0.180152391975309</v>
      </c>
      <c r="F121" s="13" t="n">
        <f aca="false">D121/Settings!$B$3/86400</f>
        <v>0.180525077160494</v>
      </c>
      <c r="G121" s="14" t="n">
        <f aca="false">(D121-C121+1)/Settings!$B$3</f>
        <v>32.2333333333333</v>
      </c>
      <c r="H121" s="15" t="n">
        <v>9.06</v>
      </c>
      <c r="I121" s="15" t="n">
        <f aca="false">H121/G121</f>
        <v>0.281075491209928</v>
      </c>
      <c r="J121" s="14" t="n">
        <v>100.5</v>
      </c>
      <c r="K121" s="11" t="str">
        <f aca="false">IF(AND(H121&gt;=Settings!$B$11,G121&gt;=Settings!$B$12),"High",IF(H121&gt;=Settings!$B$13,"Medium","Low"))</f>
        <v>High</v>
      </c>
      <c r="L121" s="11" t="s">
        <v>36</v>
      </c>
      <c r="M121" s="16"/>
      <c r="N121" s="16"/>
      <c r="O121" s="16"/>
    </row>
    <row r="122" customFormat="false" ht="15" hidden="false" customHeight="false" outlineLevel="0" collapsed="false">
      <c r="A122" s="11" t="s">
        <v>4</v>
      </c>
      <c r="B122" s="11" t="s">
        <v>164</v>
      </c>
      <c r="C122" s="12" t="n">
        <v>477563</v>
      </c>
      <c r="D122" s="12" t="n">
        <v>477950</v>
      </c>
      <c r="E122" s="13" t="n">
        <f aca="false">C122/Settings!$B$3/86400</f>
        <v>0.184244984567901</v>
      </c>
      <c r="F122" s="13" t="n">
        <f aca="false">D122/Settings!$B$3/86400</f>
        <v>0.184394290123457</v>
      </c>
      <c r="G122" s="14" t="n">
        <f aca="false">(D122-C122+1)/Settings!$B$3</f>
        <v>12.9333333333333</v>
      </c>
      <c r="H122" s="15" t="n">
        <v>3.65</v>
      </c>
      <c r="I122" s="15" t="n">
        <f aca="false">H122/G122</f>
        <v>0.282216494845361</v>
      </c>
      <c r="J122" s="14" t="n">
        <v>92.4</v>
      </c>
      <c r="K122" s="11" t="str">
        <f aca="false">IF(AND(H122&gt;=Settings!$B$11,G122&gt;=Settings!$B$12),"High",IF(H122&gt;=Settings!$B$13,"Medium","Low"))</f>
        <v>High</v>
      </c>
      <c r="L122" s="11" t="s">
        <v>36</v>
      </c>
      <c r="M122" s="16"/>
      <c r="N122" s="16"/>
      <c r="O122" s="16"/>
    </row>
    <row r="123" customFormat="false" ht="15" hidden="false" customHeight="false" outlineLevel="0" collapsed="false">
      <c r="A123" s="11" t="s">
        <v>4</v>
      </c>
      <c r="B123" s="11" t="s">
        <v>165</v>
      </c>
      <c r="C123" s="12" t="n">
        <v>478224</v>
      </c>
      <c r="D123" s="12" t="n">
        <v>478897</v>
      </c>
      <c r="E123" s="13" t="n">
        <f aca="false">C123/Settings!$B$3/86400</f>
        <v>0.1845</v>
      </c>
      <c r="F123" s="13" t="n">
        <f aca="false">D123/Settings!$B$3/86400</f>
        <v>0.184759645061728</v>
      </c>
      <c r="G123" s="14" t="n">
        <f aca="false">(D123-C123+1)/Settings!$B$3</f>
        <v>22.4666666666667</v>
      </c>
      <c r="H123" s="15" t="n">
        <v>7.11</v>
      </c>
      <c r="I123" s="15" t="n">
        <f aca="false">H123/G123</f>
        <v>0.31646884272997</v>
      </c>
      <c r="J123" s="14" t="n">
        <v>104</v>
      </c>
      <c r="K123" s="11" t="str">
        <f aca="false">IF(AND(H123&gt;=Settings!$B$11,G123&gt;=Settings!$B$12),"High",IF(H123&gt;=Settings!$B$13,"Medium","Low"))</f>
        <v>High</v>
      </c>
      <c r="L123" s="11" t="s">
        <v>36</v>
      </c>
      <c r="M123" s="16"/>
      <c r="N123" s="16"/>
      <c r="O123" s="16"/>
    </row>
    <row r="124" customFormat="false" ht="15" hidden="false" customHeight="false" outlineLevel="0" collapsed="false">
      <c r="A124" s="11" t="s">
        <v>4</v>
      </c>
      <c r="B124" s="11" t="s">
        <v>166</v>
      </c>
      <c r="C124" s="12" t="n">
        <v>489288</v>
      </c>
      <c r="D124" s="12" t="n">
        <v>489857</v>
      </c>
      <c r="E124" s="13" t="n">
        <f aca="false">C124/Settings!$B$3/86400</f>
        <v>0.188768518518519</v>
      </c>
      <c r="F124" s="13" t="n">
        <f aca="false">D124/Settings!$B$3/86400</f>
        <v>0.188988040123457</v>
      </c>
      <c r="G124" s="14" t="n">
        <f aca="false">(D124-C124+1)/Settings!$B$3</f>
        <v>19</v>
      </c>
      <c r="H124" s="15" t="n">
        <v>5.77</v>
      </c>
      <c r="I124" s="15" t="n">
        <f aca="false">H124/G124</f>
        <v>0.303684210526316</v>
      </c>
      <c r="J124" s="14" t="n">
        <v>90.2</v>
      </c>
      <c r="K124" s="11" t="str">
        <f aca="false">IF(AND(H124&gt;=Settings!$B$11,G124&gt;=Settings!$B$12),"High",IF(H124&gt;=Settings!$B$13,"Medium","Low"))</f>
        <v>High</v>
      </c>
      <c r="L124" s="11" t="s">
        <v>36</v>
      </c>
      <c r="M124" s="16"/>
      <c r="N124" s="16"/>
      <c r="O124" s="16"/>
    </row>
    <row r="125" customFormat="false" ht="15" hidden="false" customHeight="false" outlineLevel="0" collapsed="false">
      <c r="A125" s="11" t="s">
        <v>4</v>
      </c>
      <c r="B125" s="11" t="s">
        <v>167</v>
      </c>
      <c r="C125" s="12" t="n">
        <v>490377</v>
      </c>
      <c r="D125" s="12" t="n">
        <v>490596</v>
      </c>
      <c r="E125" s="13" t="n">
        <f aca="false">C125/Settings!$B$3/86400</f>
        <v>0.189188657407407</v>
      </c>
      <c r="F125" s="13" t="n">
        <f aca="false">D125/Settings!$B$3/86400</f>
        <v>0.189273148148148</v>
      </c>
      <c r="G125" s="14" t="n">
        <f aca="false">(D125-C125+1)/Settings!$B$3</f>
        <v>7.33333333333333</v>
      </c>
      <c r="H125" s="15" t="n">
        <v>2.28</v>
      </c>
      <c r="I125" s="15" t="n">
        <f aca="false">H125/G125</f>
        <v>0.310909090909091</v>
      </c>
      <c r="J125" s="14" t="n">
        <v>97.6</v>
      </c>
      <c r="K125" s="11" t="str">
        <f aca="false">IF(AND(H125&gt;=Settings!$B$11,G125&gt;=Settings!$B$12),"High",IF(H125&gt;=Settings!$B$13,"Medium","Low"))</f>
        <v>High</v>
      </c>
      <c r="L125" s="11" t="s">
        <v>36</v>
      </c>
      <c r="M125" s="16"/>
      <c r="N125" s="16"/>
      <c r="O125" s="16"/>
    </row>
    <row r="126" customFormat="false" ht="15" hidden="false" customHeight="false" outlineLevel="0" collapsed="false">
      <c r="A126" s="11" t="s">
        <v>4</v>
      </c>
      <c r="B126" s="11" t="s">
        <v>168</v>
      </c>
      <c r="C126" s="12" t="n">
        <v>491267</v>
      </c>
      <c r="D126" s="12" t="n">
        <v>491697</v>
      </c>
      <c r="E126" s="13" t="n">
        <f aca="false">C126/Settings!$B$3/86400</f>
        <v>0.189532021604938</v>
      </c>
      <c r="F126" s="13" t="n">
        <f aca="false">D126/Settings!$B$3/86400</f>
        <v>0.189697916666667</v>
      </c>
      <c r="G126" s="14" t="n">
        <f aca="false">(D126-C126+1)/Settings!$B$3</f>
        <v>14.3666666666667</v>
      </c>
      <c r="H126" s="15" t="n">
        <v>4.1</v>
      </c>
      <c r="I126" s="15" t="n">
        <f aca="false">H126/G126</f>
        <v>0.28538283062645</v>
      </c>
      <c r="J126" s="14" t="n">
        <v>99.6</v>
      </c>
      <c r="K126" s="11" t="str">
        <f aca="false">IF(AND(H126&gt;=Settings!$B$11,G126&gt;=Settings!$B$12),"High",IF(H126&gt;=Settings!$B$13,"Medium","Low"))</f>
        <v>High</v>
      </c>
      <c r="L126" s="11" t="s">
        <v>36</v>
      </c>
      <c r="M126" s="16"/>
      <c r="N126" s="16"/>
      <c r="O126" s="16"/>
    </row>
    <row r="127" customFormat="false" ht="15" hidden="false" customHeight="false" outlineLevel="0" collapsed="false">
      <c r="A127" s="11" t="s">
        <v>4</v>
      </c>
      <c r="B127" s="11" t="s">
        <v>169</v>
      </c>
      <c r="C127" s="12" t="n">
        <v>504055</v>
      </c>
      <c r="D127" s="12" t="n">
        <v>504679</v>
      </c>
      <c r="E127" s="13" t="n">
        <f aca="false">C127/Settings!$B$3/86400</f>
        <v>0.194465663580247</v>
      </c>
      <c r="F127" s="13" t="n">
        <f aca="false">D127/Settings!$B$3/86400</f>
        <v>0.194706404320988</v>
      </c>
      <c r="G127" s="14" t="n">
        <f aca="false">(D127-C127+1)/Settings!$B$3</f>
        <v>20.8333333333333</v>
      </c>
      <c r="H127" s="15" t="n">
        <v>6.43</v>
      </c>
      <c r="I127" s="15" t="n">
        <f aca="false">H127/G127</f>
        <v>0.30864</v>
      </c>
      <c r="J127" s="14" t="n">
        <v>90</v>
      </c>
      <c r="K127" s="11" t="str">
        <f aca="false">IF(AND(H127&gt;=Settings!$B$11,G127&gt;=Settings!$B$12),"High",IF(H127&gt;=Settings!$B$13,"Medium","Low"))</f>
        <v>High</v>
      </c>
      <c r="L127" s="11" t="s">
        <v>36</v>
      </c>
      <c r="M127" s="16"/>
      <c r="N127" s="16"/>
      <c r="O127" s="16"/>
    </row>
    <row r="128" customFormat="false" ht="15" hidden="false" customHeight="false" outlineLevel="0" collapsed="false">
      <c r="A128" s="11" t="s">
        <v>4</v>
      </c>
      <c r="B128" s="11" t="s">
        <v>170</v>
      </c>
      <c r="C128" s="12" t="n">
        <v>505080</v>
      </c>
      <c r="D128" s="12" t="n">
        <v>505766</v>
      </c>
      <c r="E128" s="13" t="n">
        <f aca="false">C128/Settings!$B$3/86400</f>
        <v>0.194861111111111</v>
      </c>
      <c r="F128" s="13" t="n">
        <f aca="false">D128/Settings!$B$3/86400</f>
        <v>0.195125771604938</v>
      </c>
      <c r="G128" s="14" t="n">
        <f aca="false">(D128-C128+1)/Settings!$B$3</f>
        <v>22.9</v>
      </c>
      <c r="H128" s="15" t="n">
        <v>7.69</v>
      </c>
      <c r="I128" s="15" t="n">
        <f aca="false">H128/G128</f>
        <v>0.335807860262009</v>
      </c>
      <c r="J128" s="14" t="n">
        <v>95.4</v>
      </c>
      <c r="K128" s="11" t="str">
        <f aca="false">IF(AND(H128&gt;=Settings!$B$11,G128&gt;=Settings!$B$12),"High",IF(H128&gt;=Settings!$B$13,"Medium","Low"))</f>
        <v>High</v>
      </c>
      <c r="L128" s="11" t="s">
        <v>36</v>
      </c>
      <c r="M128" s="16"/>
      <c r="N128" s="16"/>
      <c r="O128" s="16"/>
    </row>
    <row r="129" customFormat="false" ht="15" hidden="false" customHeight="false" outlineLevel="0" collapsed="false">
      <c r="A129" s="11" t="s">
        <v>4</v>
      </c>
      <c r="B129" s="11" t="s">
        <v>171</v>
      </c>
      <c r="C129" s="12" t="n">
        <v>509937</v>
      </c>
      <c r="D129" s="12" t="n">
        <v>510289</v>
      </c>
      <c r="E129" s="13" t="n">
        <f aca="false">C129/Settings!$B$3/86400</f>
        <v>0.196734953703704</v>
      </c>
      <c r="F129" s="13" t="n">
        <f aca="false">D129/Settings!$B$3/86400</f>
        <v>0.19687075617284</v>
      </c>
      <c r="G129" s="14" t="n">
        <f aca="false">(D129-C129+1)/Settings!$B$3</f>
        <v>11.7666666666667</v>
      </c>
      <c r="H129" s="15" t="n">
        <v>3.69</v>
      </c>
      <c r="I129" s="15" t="n">
        <f aca="false">H129/G129</f>
        <v>0.313597733711048</v>
      </c>
      <c r="J129" s="14" t="n">
        <v>103.4</v>
      </c>
      <c r="K129" s="11" t="str">
        <f aca="false">IF(AND(H129&gt;=Settings!$B$11,G129&gt;=Settings!$B$12),"High",IF(H129&gt;=Settings!$B$13,"Medium","Low"))</f>
        <v>High</v>
      </c>
      <c r="L129" s="11" t="s">
        <v>36</v>
      </c>
      <c r="M129" s="16"/>
      <c r="N129" s="16"/>
      <c r="O129" s="16"/>
    </row>
    <row r="130" customFormat="false" ht="15" hidden="false" customHeight="false" outlineLevel="0" collapsed="false">
      <c r="A130" s="11" t="s">
        <v>4</v>
      </c>
      <c r="B130" s="11" t="s">
        <v>172</v>
      </c>
      <c r="C130" s="12" t="n">
        <v>510414</v>
      </c>
      <c r="D130" s="12" t="n">
        <v>510776</v>
      </c>
      <c r="E130" s="13" t="n">
        <f aca="false">C130/Settings!$B$3/86400</f>
        <v>0.196918981481482</v>
      </c>
      <c r="F130" s="13" t="n">
        <f aca="false">D130/Settings!$B$3/86400</f>
        <v>0.197058641975309</v>
      </c>
      <c r="G130" s="14" t="n">
        <f aca="false">(D130-C130+1)/Settings!$B$3</f>
        <v>12.1</v>
      </c>
      <c r="H130" s="15" t="n">
        <v>3.43</v>
      </c>
      <c r="I130" s="15" t="n">
        <f aca="false">H130/G130</f>
        <v>0.283471074380165</v>
      </c>
      <c r="J130" s="14" t="n">
        <v>92.6</v>
      </c>
      <c r="K130" s="11" t="str">
        <f aca="false">IF(AND(H130&gt;=Settings!$B$11,G130&gt;=Settings!$B$12),"High",IF(H130&gt;=Settings!$B$13,"Medium","Low"))</f>
        <v>High</v>
      </c>
      <c r="L130" s="11" t="s">
        <v>36</v>
      </c>
      <c r="M130" s="16"/>
      <c r="N130" s="16"/>
      <c r="O130" s="16"/>
    </row>
    <row r="131" customFormat="false" ht="15" hidden="false" customHeight="false" outlineLevel="0" collapsed="false">
      <c r="A131" s="11" t="s">
        <v>4</v>
      </c>
      <c r="B131" s="11" t="s">
        <v>173</v>
      </c>
      <c r="C131" s="12" t="n">
        <v>511153</v>
      </c>
      <c r="D131" s="12" t="n">
        <v>511667</v>
      </c>
      <c r="E131" s="13" t="n">
        <f aca="false">C131/Settings!$B$3/86400</f>
        <v>0.197204089506173</v>
      </c>
      <c r="F131" s="13" t="n">
        <f aca="false">D131/Settings!$B$3/86400</f>
        <v>0.197402391975309</v>
      </c>
      <c r="G131" s="14" t="n">
        <f aca="false">(D131-C131+1)/Settings!$B$3</f>
        <v>17.1666666666667</v>
      </c>
      <c r="H131" s="15" t="n">
        <v>4.87</v>
      </c>
      <c r="I131" s="15" t="n">
        <f aca="false">H131/G131</f>
        <v>0.28368932038835</v>
      </c>
      <c r="J131" s="14" t="n">
        <v>92.6</v>
      </c>
      <c r="K131" s="11" t="str">
        <f aca="false">IF(AND(H131&gt;=Settings!$B$11,G131&gt;=Settings!$B$12),"High",IF(H131&gt;=Settings!$B$13,"Medium","Low"))</f>
        <v>High</v>
      </c>
      <c r="L131" s="11" t="s">
        <v>36</v>
      </c>
      <c r="M131" s="16"/>
      <c r="N131" s="16"/>
      <c r="O131" s="16"/>
    </row>
    <row r="132" customFormat="false" ht="15" hidden="false" customHeight="false" outlineLevel="0" collapsed="false">
      <c r="A132" s="11" t="s">
        <v>4</v>
      </c>
      <c r="B132" s="11" t="s">
        <v>174</v>
      </c>
      <c r="C132" s="12" t="n">
        <v>515269</v>
      </c>
      <c r="D132" s="12" t="n">
        <v>515369</v>
      </c>
      <c r="E132" s="13" t="n">
        <f aca="false">C132/Settings!$B$3/86400</f>
        <v>0.198792052469136</v>
      </c>
      <c r="F132" s="13" t="n">
        <f aca="false">D132/Settings!$B$3/86400</f>
        <v>0.198830632716049</v>
      </c>
      <c r="G132" s="14" t="n">
        <f aca="false">(D132-C132+1)/Settings!$B$3</f>
        <v>3.36666666666667</v>
      </c>
      <c r="H132" s="15" t="n">
        <v>1.03</v>
      </c>
      <c r="I132" s="15" t="n">
        <f aca="false">H132/G132</f>
        <v>0.305940594059406</v>
      </c>
      <c r="J132" s="14" t="n">
        <v>105.4</v>
      </c>
      <c r="K132" s="11" t="str">
        <f aca="false">IF(AND(H132&gt;=Settings!$B$11,G132&gt;=Settings!$B$12),"High",IF(H132&gt;=Settings!$B$13,"Medium","Low"))</f>
        <v>Medium</v>
      </c>
      <c r="L132" s="11" t="s">
        <v>36</v>
      </c>
      <c r="M132" s="16"/>
      <c r="N132" s="16"/>
      <c r="O132" s="16"/>
    </row>
    <row r="133" customFormat="false" ht="15" hidden="false" customHeight="false" outlineLevel="0" collapsed="false">
      <c r="A133" s="11" t="s">
        <v>4</v>
      </c>
      <c r="B133" s="11" t="s">
        <v>175</v>
      </c>
      <c r="C133" s="12" t="n">
        <v>515686</v>
      </c>
      <c r="D133" s="12" t="n">
        <v>516391</v>
      </c>
      <c r="E133" s="13" t="n">
        <f aca="false">C133/Settings!$B$3/86400</f>
        <v>0.198952932098765</v>
      </c>
      <c r="F133" s="13" t="n">
        <f aca="false">D133/Settings!$B$3/86400</f>
        <v>0.199224922839506</v>
      </c>
      <c r="G133" s="14" t="n">
        <f aca="false">(D133-C133+1)/Settings!$B$3</f>
        <v>23.5333333333333</v>
      </c>
      <c r="H133" s="15" t="n">
        <v>6.88</v>
      </c>
      <c r="I133" s="15" t="n">
        <f aca="false">H133/G133</f>
        <v>0.292351274787535</v>
      </c>
      <c r="J133" s="14" t="n">
        <v>91.9</v>
      </c>
      <c r="K133" s="11" t="str">
        <f aca="false">IF(AND(H133&gt;=Settings!$B$11,G133&gt;=Settings!$B$12),"High",IF(H133&gt;=Settings!$B$13,"Medium","Low"))</f>
        <v>High</v>
      </c>
      <c r="L133" s="11" t="s">
        <v>36</v>
      </c>
      <c r="M133" s="16"/>
      <c r="N133" s="16"/>
      <c r="O133" s="16"/>
    </row>
    <row r="134" customFormat="false" ht="15" hidden="false" customHeight="false" outlineLevel="0" collapsed="false">
      <c r="A134" s="11" t="s">
        <v>4</v>
      </c>
      <c r="B134" s="11" t="s">
        <v>176</v>
      </c>
      <c r="C134" s="12" t="n">
        <v>520321</v>
      </c>
      <c r="D134" s="12" t="n">
        <v>520528</v>
      </c>
      <c r="E134" s="13" t="n">
        <f aca="false">C134/Settings!$B$3/86400</f>
        <v>0.20074112654321</v>
      </c>
      <c r="F134" s="13" t="n">
        <f aca="false">D134/Settings!$B$3/86400</f>
        <v>0.200820987654321</v>
      </c>
      <c r="G134" s="14" t="n">
        <f aca="false">(D134-C134+1)/Settings!$B$3</f>
        <v>6.93333333333333</v>
      </c>
      <c r="H134" s="15" t="n">
        <v>1.71</v>
      </c>
      <c r="I134" s="15" t="n">
        <f aca="false">H134/G134</f>
        <v>0.246634615384615</v>
      </c>
      <c r="J134" s="14" t="n">
        <v>92.2</v>
      </c>
      <c r="K134" s="11" t="str">
        <f aca="false">IF(AND(H134&gt;=Settings!$B$11,G134&gt;=Settings!$B$12),"High",IF(H134&gt;=Settings!$B$13,"Medium","Low"))</f>
        <v>High</v>
      </c>
      <c r="L134" s="11" t="s">
        <v>36</v>
      </c>
      <c r="M134" s="16"/>
      <c r="N134" s="16"/>
      <c r="O134" s="16"/>
    </row>
    <row r="135" customFormat="false" ht="15" hidden="false" customHeight="false" outlineLevel="0" collapsed="false">
      <c r="A135" s="11" t="s">
        <v>4</v>
      </c>
      <c r="B135" s="11" t="s">
        <v>177</v>
      </c>
      <c r="C135" s="12" t="n">
        <v>520984</v>
      </c>
      <c r="D135" s="12" t="n">
        <v>521523</v>
      </c>
      <c r="E135" s="13" t="n">
        <f aca="false">C135/Settings!$B$3/86400</f>
        <v>0.200996913580247</v>
      </c>
      <c r="F135" s="13" t="n">
        <f aca="false">D135/Settings!$B$3/86400</f>
        <v>0.201204861111111</v>
      </c>
      <c r="G135" s="14" t="n">
        <f aca="false">(D135-C135+1)/Settings!$B$3</f>
        <v>18</v>
      </c>
      <c r="H135" s="15" t="n">
        <v>5.08</v>
      </c>
      <c r="I135" s="15" t="n">
        <f aca="false">H135/G135</f>
        <v>0.282222222222222</v>
      </c>
      <c r="J135" s="14" t="n">
        <v>91.2</v>
      </c>
      <c r="K135" s="11" t="str">
        <f aca="false">IF(AND(H135&gt;=Settings!$B$11,G135&gt;=Settings!$B$12),"High",IF(H135&gt;=Settings!$B$13,"Medium","Low"))</f>
        <v>High</v>
      </c>
      <c r="L135" s="11" t="s">
        <v>36</v>
      </c>
      <c r="M135" s="16"/>
      <c r="N135" s="16"/>
      <c r="O135" s="16"/>
    </row>
    <row r="136" customFormat="false" ht="15" hidden="false" customHeight="false" outlineLevel="0" collapsed="false">
      <c r="A136" s="11" t="s">
        <v>4</v>
      </c>
      <c r="B136" s="11" t="s">
        <v>178</v>
      </c>
      <c r="C136" s="12" t="n">
        <v>525647</v>
      </c>
      <c r="D136" s="12" t="n">
        <v>526511</v>
      </c>
      <c r="E136" s="13" t="n">
        <f aca="false">C136/Settings!$B$3/86400</f>
        <v>0.202795910493827</v>
      </c>
      <c r="F136" s="13" t="n">
        <f aca="false">D136/Settings!$B$3/86400</f>
        <v>0.20312924382716</v>
      </c>
      <c r="G136" s="14" t="n">
        <f aca="false">(D136-C136+1)/Settings!$B$3</f>
        <v>28.8333333333333</v>
      </c>
      <c r="H136" s="15" t="n">
        <v>8.87</v>
      </c>
      <c r="I136" s="15" t="n">
        <f aca="false">H136/G136</f>
        <v>0.307630057803468</v>
      </c>
      <c r="J136" s="14" t="n">
        <v>90.6</v>
      </c>
      <c r="K136" s="11" t="str">
        <f aca="false">IF(AND(H136&gt;=Settings!$B$11,G136&gt;=Settings!$B$12),"High",IF(H136&gt;=Settings!$B$13,"Medium","Low"))</f>
        <v>High</v>
      </c>
      <c r="L136" s="11" t="s">
        <v>36</v>
      </c>
      <c r="M136" s="16"/>
      <c r="N136" s="16"/>
      <c r="O136" s="16"/>
    </row>
    <row r="137" customFormat="false" ht="15" hidden="false" customHeight="false" outlineLevel="0" collapsed="false">
      <c r="A137" s="11" t="s">
        <v>4</v>
      </c>
      <c r="B137" s="11" t="s">
        <v>179</v>
      </c>
      <c r="C137" s="12" t="n">
        <v>535485</v>
      </c>
      <c r="D137" s="12" t="n">
        <v>535625</v>
      </c>
      <c r="E137" s="13" t="n">
        <f aca="false">C137/Settings!$B$3/86400</f>
        <v>0.206591435185185</v>
      </c>
      <c r="F137" s="13" t="n">
        <f aca="false">D137/Settings!$B$3/86400</f>
        <v>0.206645447530864</v>
      </c>
      <c r="G137" s="14" t="n">
        <f aca="false">(D137-C137+1)/Settings!$B$3</f>
        <v>4.7</v>
      </c>
      <c r="H137" s="15" t="n">
        <v>1.17</v>
      </c>
      <c r="I137" s="15" t="n">
        <f aca="false">H137/G137</f>
        <v>0.248936170212766</v>
      </c>
      <c r="J137" s="14" t="n">
        <v>113.8</v>
      </c>
      <c r="K137" s="11" t="str">
        <f aca="false">IF(AND(H137&gt;=Settings!$B$11,G137&gt;=Settings!$B$12),"High",IF(H137&gt;=Settings!$B$13,"Medium","Low"))</f>
        <v>Medium</v>
      </c>
      <c r="L137" s="11" t="s">
        <v>36</v>
      </c>
      <c r="M137" s="16"/>
      <c r="N137" s="16"/>
      <c r="O137" s="16"/>
    </row>
    <row r="138" customFormat="false" ht="15" hidden="false" customHeight="false" outlineLevel="0" collapsed="false">
      <c r="A138" s="11" t="s">
        <v>4</v>
      </c>
      <c r="B138" s="11" t="s">
        <v>180</v>
      </c>
      <c r="C138" s="12" t="n">
        <v>536008</v>
      </c>
      <c r="D138" s="12" t="n">
        <v>536298</v>
      </c>
      <c r="E138" s="13" t="n">
        <f aca="false">C138/Settings!$B$3/86400</f>
        <v>0.206793209876543</v>
      </c>
      <c r="F138" s="13" t="n">
        <f aca="false">D138/Settings!$B$3/86400</f>
        <v>0.206905092592593</v>
      </c>
      <c r="G138" s="14" t="n">
        <f aca="false">(D138-C138+1)/Settings!$B$3</f>
        <v>9.7</v>
      </c>
      <c r="H138" s="15" t="n">
        <v>2.84</v>
      </c>
      <c r="I138" s="15" t="n">
        <f aca="false">H138/G138</f>
        <v>0.292783505154639</v>
      </c>
      <c r="J138" s="14" t="n">
        <v>90.6</v>
      </c>
      <c r="K138" s="11" t="str">
        <f aca="false">IF(AND(H138&gt;=Settings!$B$11,G138&gt;=Settings!$B$12),"High",IF(H138&gt;=Settings!$B$13,"Medium","Low"))</f>
        <v>High</v>
      </c>
      <c r="L138" s="11" t="s">
        <v>36</v>
      </c>
      <c r="M138" s="16"/>
      <c r="N138" s="16"/>
      <c r="O138" s="16"/>
    </row>
    <row r="139" customFormat="false" ht="15" hidden="false" customHeight="false" outlineLevel="0" collapsed="false">
      <c r="A139" s="11" t="s">
        <v>4</v>
      </c>
      <c r="B139" s="11" t="s">
        <v>181</v>
      </c>
      <c r="C139" s="12" t="n">
        <v>536431</v>
      </c>
      <c r="D139" s="12" t="n">
        <v>536691</v>
      </c>
      <c r="E139" s="13" t="n">
        <f aca="false">C139/Settings!$B$3/86400</f>
        <v>0.206956404320988</v>
      </c>
      <c r="F139" s="13" t="n">
        <f aca="false">D139/Settings!$B$3/86400</f>
        <v>0.207056712962963</v>
      </c>
      <c r="G139" s="14" t="n">
        <f aca="false">(D139-C139+1)/Settings!$B$3</f>
        <v>8.7</v>
      </c>
      <c r="H139" s="15" t="n">
        <v>2.44</v>
      </c>
      <c r="I139" s="15" t="n">
        <f aca="false">H139/G139</f>
        <v>0.280459770114943</v>
      </c>
      <c r="J139" s="14" t="n">
        <v>97.3</v>
      </c>
      <c r="K139" s="11" t="str">
        <f aca="false">IF(AND(H139&gt;=Settings!$B$11,G139&gt;=Settings!$B$12),"High",IF(H139&gt;=Settings!$B$13,"Medium","Low"))</f>
        <v>High</v>
      </c>
      <c r="L139" s="11" t="s">
        <v>36</v>
      </c>
      <c r="M139" s="16"/>
      <c r="N139" s="16"/>
      <c r="O139" s="16"/>
    </row>
    <row r="140" customFormat="false" ht="15" hidden="false" customHeight="false" outlineLevel="0" collapsed="false">
      <c r="A140" s="11" t="s">
        <v>4</v>
      </c>
      <c r="B140" s="11" t="s">
        <v>182</v>
      </c>
      <c r="C140" s="12" t="n">
        <v>545340</v>
      </c>
      <c r="D140" s="12" t="n">
        <v>545814</v>
      </c>
      <c r="E140" s="13" t="n">
        <f aca="false">C140/Settings!$B$3/86400</f>
        <v>0.210393518518519</v>
      </c>
      <c r="F140" s="13" t="n">
        <f aca="false">D140/Settings!$B$3/86400</f>
        <v>0.210576388888889</v>
      </c>
      <c r="G140" s="14" t="n">
        <f aca="false">(D140-C140+1)/Settings!$B$3</f>
        <v>15.8333333333333</v>
      </c>
      <c r="H140" s="15" t="n">
        <v>4.75</v>
      </c>
      <c r="I140" s="15" t="n">
        <f aca="false">H140/G140</f>
        <v>0.3</v>
      </c>
      <c r="J140" s="14" t="n">
        <v>94.4</v>
      </c>
      <c r="K140" s="11" t="str">
        <f aca="false">IF(AND(H140&gt;=Settings!$B$11,G140&gt;=Settings!$B$12),"High",IF(H140&gt;=Settings!$B$13,"Medium","Low"))</f>
        <v>High</v>
      </c>
      <c r="L140" s="11" t="s">
        <v>36</v>
      </c>
      <c r="M140" s="16"/>
      <c r="N140" s="16"/>
      <c r="O140" s="16"/>
    </row>
    <row r="141" customFormat="false" ht="15" hidden="false" customHeight="false" outlineLevel="0" collapsed="false">
      <c r="A141" s="11" t="s">
        <v>4</v>
      </c>
      <c r="B141" s="11" t="s">
        <v>183</v>
      </c>
      <c r="C141" s="12" t="n">
        <v>547783</v>
      </c>
      <c r="D141" s="12" t="n">
        <v>548078</v>
      </c>
      <c r="E141" s="13" t="n">
        <f aca="false">C141/Settings!$B$3/86400</f>
        <v>0.211336033950617</v>
      </c>
      <c r="F141" s="13" t="n">
        <f aca="false">D141/Settings!$B$3/86400</f>
        <v>0.211449845679012</v>
      </c>
      <c r="G141" s="14" t="n">
        <f aca="false">(D141-C141+1)/Settings!$B$3</f>
        <v>9.86666666666667</v>
      </c>
      <c r="H141" s="15" t="n">
        <v>2.9</v>
      </c>
      <c r="I141" s="15" t="n">
        <f aca="false">H141/G141</f>
        <v>0.293918918918919</v>
      </c>
      <c r="J141" s="14" t="n">
        <v>93.7</v>
      </c>
      <c r="K141" s="11" t="str">
        <f aca="false">IF(AND(H141&gt;=Settings!$B$11,G141&gt;=Settings!$B$12),"High",IF(H141&gt;=Settings!$B$13,"Medium","Low"))</f>
        <v>High</v>
      </c>
      <c r="L141" s="11" t="s">
        <v>36</v>
      </c>
      <c r="M141" s="16"/>
      <c r="N141" s="16"/>
      <c r="O141" s="16"/>
    </row>
    <row r="142" customFormat="false" ht="15" hidden="false" customHeight="false" outlineLevel="0" collapsed="false">
      <c r="A142" s="11" t="s">
        <v>4</v>
      </c>
      <c r="B142" s="11" t="s">
        <v>184</v>
      </c>
      <c r="C142" s="12" t="n">
        <v>559441</v>
      </c>
      <c r="D142" s="12" t="n">
        <v>559547</v>
      </c>
      <c r="E142" s="13" t="n">
        <f aca="false">C142/Settings!$B$3/86400</f>
        <v>0.215833719135802</v>
      </c>
      <c r="F142" s="13" t="n">
        <f aca="false">D142/Settings!$B$3/86400</f>
        <v>0.215874614197531</v>
      </c>
      <c r="G142" s="14" t="n">
        <f aca="false">(D142-C142+1)/Settings!$B$3</f>
        <v>3.56666666666667</v>
      </c>
      <c r="H142" s="15" t="n">
        <v>1.24</v>
      </c>
      <c r="I142" s="15" t="n">
        <f aca="false">H142/G142</f>
        <v>0.347663551401869</v>
      </c>
      <c r="J142" s="14" t="n">
        <v>100.5</v>
      </c>
      <c r="K142" s="11" t="str">
        <f aca="false">IF(AND(H142&gt;=Settings!$B$11,G142&gt;=Settings!$B$12),"High",IF(H142&gt;=Settings!$B$13,"Medium","Low"))</f>
        <v>Medium</v>
      </c>
      <c r="L142" s="11" t="s">
        <v>36</v>
      </c>
      <c r="M142" s="16"/>
      <c r="N142" s="16"/>
      <c r="O142" s="16"/>
    </row>
    <row r="143" customFormat="false" ht="15" hidden="false" customHeight="false" outlineLevel="0" collapsed="false">
      <c r="A143" s="11" t="s">
        <v>4</v>
      </c>
      <c r="B143" s="11" t="s">
        <v>185</v>
      </c>
      <c r="C143" s="12" t="n">
        <v>562503</v>
      </c>
      <c r="D143" s="12" t="n">
        <v>562872</v>
      </c>
      <c r="E143" s="13" t="n">
        <f aca="false">C143/Settings!$B$3/86400</f>
        <v>0.217015046296296</v>
      </c>
      <c r="F143" s="13" t="n">
        <f aca="false">D143/Settings!$B$3/86400</f>
        <v>0.217157407407407</v>
      </c>
      <c r="G143" s="14" t="n">
        <f aca="false">(D143-C143+1)/Settings!$B$3</f>
        <v>12.3333333333333</v>
      </c>
      <c r="H143" s="15" t="n">
        <v>3.42</v>
      </c>
      <c r="I143" s="15" t="n">
        <f aca="false">H143/G143</f>
        <v>0.277297297297297</v>
      </c>
      <c r="J143" s="14" t="n">
        <v>92.6</v>
      </c>
      <c r="K143" s="11" t="str">
        <f aca="false">IF(AND(H143&gt;=Settings!$B$11,G143&gt;=Settings!$B$12),"High",IF(H143&gt;=Settings!$B$13,"Medium","Low"))</f>
        <v>High</v>
      </c>
      <c r="L143" s="11" t="s">
        <v>36</v>
      </c>
      <c r="M143" s="16"/>
      <c r="N143" s="16"/>
      <c r="O143" s="16"/>
    </row>
    <row r="144" customFormat="false" ht="15" hidden="false" customHeight="false" outlineLevel="0" collapsed="false">
      <c r="A144" s="11" t="s">
        <v>4</v>
      </c>
      <c r="B144" s="11" t="s">
        <v>186</v>
      </c>
      <c r="C144" s="12" t="n">
        <v>578997</v>
      </c>
      <c r="D144" s="12" t="n">
        <v>579125</v>
      </c>
      <c r="E144" s="13" t="n">
        <f aca="false">C144/Settings!$B$3/86400</f>
        <v>0.223378472222222</v>
      </c>
      <c r="F144" s="13" t="n">
        <f aca="false">D144/Settings!$B$3/86400</f>
        <v>0.223427854938272</v>
      </c>
      <c r="G144" s="14" t="n">
        <f aca="false">(D144-C144+1)/Settings!$B$3</f>
        <v>4.3</v>
      </c>
      <c r="H144" s="15" t="n">
        <v>1.14</v>
      </c>
      <c r="I144" s="15" t="n">
        <f aca="false">H144/G144</f>
        <v>0.265116279069767</v>
      </c>
      <c r="J144" s="14" t="n">
        <v>133.6</v>
      </c>
      <c r="K144" s="11" t="str">
        <f aca="false">IF(AND(H144&gt;=Settings!$B$11,G144&gt;=Settings!$B$12),"High",IF(H144&gt;=Settings!$B$13,"Medium","Low"))</f>
        <v>Medium</v>
      </c>
      <c r="L144" s="11" t="s">
        <v>36</v>
      </c>
      <c r="M144" s="16"/>
      <c r="N144" s="16"/>
      <c r="O144" s="16"/>
    </row>
    <row r="145" customFormat="false" ht="15" hidden="false" customHeight="false" outlineLevel="0" collapsed="false">
      <c r="A145" s="11" t="s">
        <v>4</v>
      </c>
      <c r="B145" s="11" t="s">
        <v>187</v>
      </c>
      <c r="C145" s="12" t="n">
        <v>592270</v>
      </c>
      <c r="D145" s="12" t="n">
        <v>592424</v>
      </c>
      <c r="E145" s="13" t="n">
        <f aca="false">C145/Settings!$B$3/86400</f>
        <v>0.228499228395062</v>
      </c>
      <c r="F145" s="13" t="n">
        <f aca="false">D145/Settings!$B$3/86400</f>
        <v>0.228558641975309</v>
      </c>
      <c r="G145" s="14" t="n">
        <f aca="false">(D145-C145+1)/Settings!$B$3</f>
        <v>5.16666666666667</v>
      </c>
      <c r="H145" s="15" t="n">
        <v>0.77</v>
      </c>
      <c r="I145" s="15" t="n">
        <f aca="false">H145/G145</f>
        <v>0.149032258064516</v>
      </c>
      <c r="J145" s="14" t="n">
        <v>89.9</v>
      </c>
      <c r="K145" s="11" t="str">
        <f aca="false">IF(AND(H145&gt;=Settings!$B$11,G145&gt;=Settings!$B$12),"High",IF(H145&gt;=Settings!$B$13,"Medium","Low"))</f>
        <v>Low</v>
      </c>
      <c r="L145" s="11" t="s">
        <v>36</v>
      </c>
      <c r="M145" s="16"/>
      <c r="N145" s="16"/>
      <c r="O145" s="16"/>
    </row>
    <row r="146" customFormat="false" ht="15" hidden="false" customHeight="false" outlineLevel="0" collapsed="false">
      <c r="A146" s="11" t="s">
        <v>4</v>
      </c>
      <c r="B146" s="11" t="s">
        <v>188</v>
      </c>
      <c r="C146" s="12" t="n">
        <v>619300</v>
      </c>
      <c r="D146" s="12" t="n">
        <v>619397</v>
      </c>
      <c r="E146" s="13" t="n">
        <f aca="false">C146/Settings!$B$3/86400</f>
        <v>0.238927469135802</v>
      </c>
      <c r="F146" s="13" t="n">
        <f aca="false">D146/Settings!$B$3/86400</f>
        <v>0.238964891975309</v>
      </c>
      <c r="G146" s="14" t="n">
        <f aca="false">(D146-C146+1)/Settings!$B$3</f>
        <v>3.26666666666667</v>
      </c>
      <c r="H146" s="15" t="n">
        <v>0.53</v>
      </c>
      <c r="I146" s="15" t="n">
        <f aca="false">H146/G146</f>
        <v>0.162244897959184</v>
      </c>
      <c r="J146" s="14" t="n">
        <v>144.8</v>
      </c>
      <c r="K146" s="11" t="str">
        <f aca="false">IF(AND(H146&gt;=Settings!$B$11,G146&gt;=Settings!$B$12),"High",IF(H146&gt;=Settings!$B$13,"Medium","Low"))</f>
        <v>Low</v>
      </c>
      <c r="L146" s="11" t="s">
        <v>36</v>
      </c>
      <c r="M146" s="16"/>
      <c r="N146" s="16"/>
      <c r="O146" s="16"/>
    </row>
    <row r="147" customFormat="false" ht="15" hidden="false" customHeight="false" outlineLevel="0" collapsed="false">
      <c r="A147" s="11" t="s">
        <v>4</v>
      </c>
      <c r="B147" s="11" t="s">
        <v>189</v>
      </c>
      <c r="C147" s="12" t="n">
        <v>713003</v>
      </c>
      <c r="D147" s="12" t="n">
        <v>713289</v>
      </c>
      <c r="E147" s="13" t="n">
        <f aca="false">C147/Settings!$B$3/86400</f>
        <v>0.275078317901235</v>
      </c>
      <c r="F147" s="13" t="n">
        <f aca="false">D147/Settings!$B$3/86400</f>
        <v>0.275188657407407</v>
      </c>
      <c r="G147" s="14" t="n">
        <f aca="false">(D147-C147+1)/Settings!$B$3</f>
        <v>9.56666666666667</v>
      </c>
      <c r="H147" s="15" t="n">
        <v>2.82</v>
      </c>
      <c r="I147" s="15" t="n">
        <f aca="false">H147/G147</f>
        <v>0.294773519163763</v>
      </c>
      <c r="J147" s="14" t="n">
        <v>107.7</v>
      </c>
      <c r="K147" s="11" t="str">
        <f aca="false">IF(AND(H147&gt;=Settings!$B$11,G147&gt;=Settings!$B$12),"High",IF(H147&gt;=Settings!$B$13,"Medium","Low"))</f>
        <v>High</v>
      </c>
      <c r="L147" s="17" t="s">
        <v>76</v>
      </c>
      <c r="M147" s="16"/>
      <c r="N147" s="16"/>
      <c r="O147" s="16"/>
    </row>
  </sheetData>
  <autoFilter ref="A1:O147"/>
  <dataValidations count="1">
    <dataValidation allowBlank="true" errorStyle="stop" operator="between" showDropDown="false" showErrorMessage="false" showInputMessage="false" sqref="M2:M147" type="list">
      <formula1>"Y,N,unsure"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"/>
    <col collapsed="false" customWidth="true" hidden="false" outlineLevel="0" max="5" min="3" style="0" width="12"/>
    <col collapsed="false" customWidth="true" hidden="false" outlineLevel="0" max="6" min="6" style="0" width="11"/>
    <col collapsed="false" customWidth="true" hidden="false" outlineLevel="0" max="9" min="7" style="0" width="12"/>
    <col collapsed="false" customWidth="true" hidden="false" outlineLevel="0" max="11" min="10" style="0" width="10"/>
    <col collapsed="false" customWidth="true" hidden="false" outlineLevel="0" max="12" min="12" style="0" width="13"/>
  </cols>
  <sheetData>
    <row r="1" customFormat="false" ht="31.5" hidden="false" customHeight="true" outlineLevel="0" collapsed="false">
      <c r="A1" s="3" t="s">
        <v>20</v>
      </c>
      <c r="B1" s="3" t="s">
        <v>190</v>
      </c>
      <c r="C1" s="3" t="s">
        <v>191</v>
      </c>
      <c r="D1" s="3" t="s">
        <v>192</v>
      </c>
      <c r="E1" s="3" t="s">
        <v>193</v>
      </c>
      <c r="F1" s="3" t="s">
        <v>194</v>
      </c>
      <c r="G1" s="3" t="s">
        <v>195</v>
      </c>
      <c r="H1" s="3" t="s">
        <v>196</v>
      </c>
      <c r="I1" s="3" t="s">
        <v>197</v>
      </c>
      <c r="J1" s="3" t="s">
        <v>198</v>
      </c>
      <c r="K1" s="3" t="s">
        <v>199</v>
      </c>
      <c r="L1" s="3" t="s">
        <v>200</v>
      </c>
    </row>
    <row r="2" customFormat="false" ht="15" hidden="false" customHeight="false" outlineLevel="0" collapsed="false">
      <c r="A2" s="11" t="s">
        <v>3</v>
      </c>
      <c r="B2" s="11" t="n">
        <v>1</v>
      </c>
      <c r="C2" s="11" t="n">
        <v>265510</v>
      </c>
      <c r="D2" s="11" t="n">
        <v>266227</v>
      </c>
      <c r="E2" s="13" t="n">
        <f aca="false">C2/Settings!$B$3/86400</f>
        <v>0.102434413580247</v>
      </c>
      <c r="F2" s="14" t="n">
        <f aca="false">(D2-C2+1)/Settings!$B$3</f>
        <v>23.9333333333333</v>
      </c>
      <c r="G2" s="11" t="s">
        <v>63</v>
      </c>
      <c r="H2" s="18" t="n">
        <f aca="false">INDEX(Candidates!$C$2:$C$147,MATCH(G2,Candidates!$B$2:$B$147,0))</f>
        <v>265512</v>
      </c>
      <c r="I2" s="18" t="n">
        <f aca="false">INDEX(Candidates!$D$2:$D$147,MATCH(G2,Candidates!$B$2:$B$147,0))</f>
        <v>266227</v>
      </c>
      <c r="J2" s="19" t="n">
        <f aca="false">(H2-C2)/Settings!$B$3</f>
        <v>0.0666666666666667</v>
      </c>
      <c r="K2" s="19" t="n">
        <f aca="false">(I2-D2)/Settings!$B$3</f>
        <v>0</v>
      </c>
      <c r="L2" s="20" t="n">
        <v>0.997</v>
      </c>
    </row>
    <row r="3" customFormat="false" ht="15" hidden="false" customHeight="false" outlineLevel="0" collapsed="false">
      <c r="A3" s="11" t="s">
        <v>3</v>
      </c>
      <c r="B3" s="11" t="n">
        <v>2</v>
      </c>
      <c r="C3" s="11" t="n">
        <v>266809</v>
      </c>
      <c r="D3" s="11" t="n">
        <v>267100</v>
      </c>
      <c r="E3" s="13" t="n">
        <f aca="false">C3/Settings!$B$3/86400</f>
        <v>0.102935570987654</v>
      </c>
      <c r="F3" s="14" t="n">
        <f aca="false">(D3-C3+1)/Settings!$B$3</f>
        <v>9.73333333333333</v>
      </c>
      <c r="G3" s="11" t="s">
        <v>65</v>
      </c>
      <c r="H3" s="18" t="n">
        <f aca="false">INDEX(Candidates!$C$2:$C$147,MATCH(G3,Candidates!$B$2:$B$147,0))</f>
        <v>266797</v>
      </c>
      <c r="I3" s="18" t="n">
        <f aca="false">INDEX(Candidates!$D$2:$D$147,MATCH(G3,Candidates!$B$2:$B$147,0))</f>
        <v>267041</v>
      </c>
      <c r="J3" s="19" t="n">
        <f aca="false">(H3-C3)/Settings!$B$3</f>
        <v>-0.4</v>
      </c>
      <c r="K3" s="19" t="n">
        <f aca="false">(I3-D3)/Settings!$B$3</f>
        <v>-1.96666666666667</v>
      </c>
      <c r="L3" s="20" t="n">
        <v>0.798</v>
      </c>
    </row>
    <row r="4" customFormat="false" ht="15" hidden="false" customHeight="false" outlineLevel="0" collapsed="false">
      <c r="A4" s="11" t="s">
        <v>3</v>
      </c>
      <c r="B4" s="11" t="n">
        <v>3</v>
      </c>
      <c r="C4" s="11" t="n">
        <v>267242</v>
      </c>
      <c r="D4" s="11" t="n">
        <v>267837</v>
      </c>
      <c r="E4" s="13" t="n">
        <f aca="false">C4/Settings!$B$3/86400</f>
        <v>0.10310262345679</v>
      </c>
      <c r="F4" s="14" t="n">
        <f aca="false">(D4-C4+1)/Settings!$B$3</f>
        <v>19.8666666666667</v>
      </c>
      <c r="G4" s="11" t="s">
        <v>67</v>
      </c>
      <c r="H4" s="18" t="n">
        <f aca="false">INDEX(Candidates!$C$2:$C$147,MATCH(G4,Candidates!$B$2:$B$147,0))</f>
        <v>267239</v>
      </c>
      <c r="I4" s="18" t="n">
        <f aca="false">INDEX(Candidates!$D$2:$D$147,MATCH(G4,Candidates!$B$2:$B$147,0))</f>
        <v>267823</v>
      </c>
      <c r="J4" s="19" t="n">
        <f aca="false">(H4-C4)/Settings!$B$3</f>
        <v>-0.1</v>
      </c>
      <c r="K4" s="19" t="n">
        <f aca="false">(I4-D4)/Settings!$B$3</f>
        <v>-0.466666666666667</v>
      </c>
      <c r="L4" s="20" t="n">
        <v>0.977</v>
      </c>
    </row>
    <row r="5" customFormat="false" ht="15" hidden="false" customHeight="false" outlineLevel="0" collapsed="false">
      <c r="A5" s="11" t="s">
        <v>3</v>
      </c>
      <c r="B5" s="11" t="n">
        <v>4</v>
      </c>
      <c r="C5" s="11" t="n">
        <v>269089</v>
      </c>
      <c r="D5" s="11" t="n">
        <v>271817</v>
      </c>
      <c r="E5" s="13" t="n">
        <f aca="false">C5/Settings!$B$3/86400</f>
        <v>0.103815200617284</v>
      </c>
      <c r="F5" s="14" t="n">
        <f aca="false">(D5-C5+1)/Settings!$B$3</f>
        <v>90.9666666666667</v>
      </c>
      <c r="G5" s="11" t="s">
        <v>69</v>
      </c>
      <c r="H5" s="18" t="n">
        <f aca="false">INDEX(Candidates!$C$2:$C$147,MATCH(G5,Candidates!$B$2:$B$147,0))</f>
        <v>269068</v>
      </c>
      <c r="I5" s="18" t="n">
        <f aca="false">INDEX(Candidates!$D$2:$D$147,MATCH(G5,Candidates!$B$2:$B$147,0))</f>
        <v>271828</v>
      </c>
      <c r="J5" s="19" t="n">
        <f aca="false">(H5-C5)/Settings!$B$3</f>
        <v>-0.7</v>
      </c>
      <c r="K5" s="19" t="n">
        <f aca="false">(I5-D5)/Settings!$B$3</f>
        <v>0.366666666666667</v>
      </c>
      <c r="L5" s="20" t="n">
        <v>1</v>
      </c>
    </row>
    <row r="6" customFormat="false" ht="15" hidden="false" customHeight="false" outlineLevel="0" collapsed="false">
      <c r="A6" s="11" t="s">
        <v>3</v>
      </c>
      <c r="B6" s="11" t="n">
        <v>5</v>
      </c>
      <c r="C6" s="11" t="n">
        <v>272241</v>
      </c>
      <c r="D6" s="11" t="n">
        <v>273018</v>
      </c>
      <c r="E6" s="13" t="n">
        <f aca="false">C6/Settings!$B$3/86400</f>
        <v>0.10503125</v>
      </c>
      <c r="F6" s="14" t="n">
        <f aca="false">(D6-C6+1)/Settings!$B$3</f>
        <v>25.9333333333333</v>
      </c>
      <c r="G6" s="11" t="s">
        <v>71</v>
      </c>
      <c r="H6" s="18" t="n">
        <f aca="false">INDEX(Candidates!$C$2:$C$147,MATCH(G6,Candidates!$B$2:$B$147,0))</f>
        <v>272248</v>
      </c>
      <c r="I6" s="18" t="n">
        <f aca="false">INDEX(Candidates!$D$2:$D$147,MATCH(G6,Candidates!$B$2:$B$147,0))</f>
        <v>272940</v>
      </c>
      <c r="J6" s="19" t="n">
        <f aca="false">(H6-C6)/Settings!$B$3</f>
        <v>0.233333333333333</v>
      </c>
      <c r="K6" s="19" t="n">
        <f aca="false">(I6-D6)/Settings!$B$3</f>
        <v>-2.6</v>
      </c>
      <c r="L6" s="20" t="n">
        <v>0.891</v>
      </c>
    </row>
    <row r="7" customFormat="false" ht="15" hidden="false" customHeight="false" outlineLevel="0" collapsed="false">
      <c r="A7" s="11" t="s">
        <v>3</v>
      </c>
      <c r="B7" s="11" t="n">
        <v>6</v>
      </c>
      <c r="C7" s="11" t="n">
        <v>273550</v>
      </c>
      <c r="D7" s="11" t="n">
        <v>274787</v>
      </c>
      <c r="E7" s="13" t="n">
        <f aca="false">C7/Settings!$B$3/86400</f>
        <v>0.105536265432099</v>
      </c>
      <c r="F7" s="14" t="n">
        <f aca="false">(D7-C7+1)/Settings!$B$3</f>
        <v>41.2666666666667</v>
      </c>
      <c r="G7" s="11" t="s">
        <v>73</v>
      </c>
      <c r="H7" s="18" t="n">
        <f aca="false">INDEX(Candidates!$C$2:$C$147,MATCH(G7,Candidates!$B$2:$B$147,0))</f>
        <v>273557</v>
      </c>
      <c r="I7" s="18" t="n">
        <f aca="false">INDEX(Candidates!$D$2:$D$147,MATCH(G7,Candidates!$B$2:$B$147,0))</f>
        <v>274785</v>
      </c>
      <c r="J7" s="19" t="n">
        <f aca="false">(H7-C7)/Settings!$B$3</f>
        <v>0.233333333333333</v>
      </c>
      <c r="K7" s="19" t="n">
        <f aca="false">(I7-D7)/Settings!$B$3</f>
        <v>-0.0666666666666667</v>
      </c>
      <c r="L7" s="20" t="n">
        <v>0.993</v>
      </c>
    </row>
    <row r="8" customFormat="false" ht="15" hidden="false" customHeight="false" outlineLevel="0" collapsed="false">
      <c r="A8" s="11" t="s">
        <v>3</v>
      </c>
      <c r="B8" s="11" t="n">
        <v>7</v>
      </c>
      <c r="C8" s="11" t="n">
        <v>275040</v>
      </c>
      <c r="D8" s="11" t="n">
        <v>275190</v>
      </c>
      <c r="E8" s="13" t="n">
        <f aca="false">C8/Settings!$B$3/86400</f>
        <v>0.106111111111111</v>
      </c>
      <c r="F8" s="14" t="n">
        <f aca="false">(D8-C8+1)/Settings!$B$3</f>
        <v>5.03333333333333</v>
      </c>
      <c r="G8" s="11" t="s">
        <v>75</v>
      </c>
      <c r="H8" s="18" t="n">
        <f aca="false">INDEX(Candidates!$C$2:$C$147,MATCH(G8,Candidates!$B$2:$B$147,0))</f>
        <v>275054</v>
      </c>
      <c r="I8" s="18" t="n">
        <f aca="false">INDEX(Candidates!$D$2:$D$147,MATCH(G8,Candidates!$B$2:$B$147,0))</f>
        <v>275181</v>
      </c>
      <c r="J8" s="19" t="n">
        <f aca="false">(H8-C8)/Settings!$B$3</f>
        <v>0.466666666666667</v>
      </c>
      <c r="K8" s="19" t="n">
        <f aca="false">(I8-D8)/Settings!$B$3</f>
        <v>-0.3</v>
      </c>
      <c r="L8" s="20" t="n">
        <v>0.848</v>
      </c>
    </row>
    <row r="9" customFormat="false" ht="15" hidden="false" customHeight="false" outlineLevel="0" collapsed="false">
      <c r="A9" s="11" t="s">
        <v>3</v>
      </c>
      <c r="B9" s="11" t="n">
        <v>8</v>
      </c>
      <c r="C9" s="11" t="n">
        <v>276439</v>
      </c>
      <c r="D9" s="11" t="n">
        <v>276530</v>
      </c>
      <c r="E9" s="13" t="n">
        <f aca="false">C9/Settings!$B$3/86400</f>
        <v>0.106650848765432</v>
      </c>
      <c r="F9" s="14" t="n">
        <f aca="false">(D9-C9+1)/Settings!$B$3</f>
        <v>3.06666666666667</v>
      </c>
      <c r="G9" s="11" t="s">
        <v>77</v>
      </c>
      <c r="H9" s="18" t="n">
        <f aca="false">INDEX(Candidates!$C$2:$C$147,MATCH(G9,Candidates!$B$2:$B$147,0))</f>
        <v>276443</v>
      </c>
      <c r="I9" s="18" t="n">
        <f aca="false">INDEX(Candidates!$D$2:$D$147,MATCH(G9,Candidates!$B$2:$B$147,0))</f>
        <v>276533</v>
      </c>
      <c r="J9" s="19" t="n">
        <f aca="false">(H9-C9)/Settings!$B$3</f>
        <v>0.133333333333333</v>
      </c>
      <c r="K9" s="19" t="n">
        <f aca="false">(I9-D9)/Settings!$B$3</f>
        <v>0.1</v>
      </c>
      <c r="L9" s="20" t="n">
        <v>0.957</v>
      </c>
    </row>
    <row r="10" customFormat="false" ht="15" hidden="false" customHeight="false" outlineLevel="0" collapsed="false">
      <c r="A10" s="11" t="s">
        <v>4</v>
      </c>
      <c r="B10" s="11" t="n">
        <v>1</v>
      </c>
      <c r="C10" s="11" t="n">
        <v>334703</v>
      </c>
      <c r="D10" s="11" t="n">
        <v>334830</v>
      </c>
      <c r="E10" s="13" t="n">
        <f aca="false">C10/Settings!$B$3/86400</f>
        <v>0.12912924382716</v>
      </c>
      <c r="F10" s="14" t="n">
        <f aca="false">(D10-C10+1)/Settings!$B$3</f>
        <v>4.26666666666667</v>
      </c>
      <c r="G10" s="11" t="s">
        <v>108</v>
      </c>
      <c r="H10" s="18" t="n">
        <f aca="false">INDEX(Candidates!$C$2:$C$147,MATCH(G10,Candidates!$B$2:$B$147,0))</f>
        <v>334684</v>
      </c>
      <c r="I10" s="18" t="n">
        <f aca="false">INDEX(Candidates!$D$2:$D$147,MATCH(G10,Candidates!$B$2:$B$147,0))</f>
        <v>334823</v>
      </c>
      <c r="J10" s="19" t="n">
        <f aca="false">(H10-C10)/Settings!$B$3</f>
        <v>-0.633333333333333</v>
      </c>
      <c r="K10" s="19" t="n">
        <f aca="false">(I10-D10)/Settings!$B$3</f>
        <v>-0.233333333333333</v>
      </c>
      <c r="L10" s="20" t="n">
        <v>0.945</v>
      </c>
    </row>
    <row r="11" customFormat="false" ht="15" hidden="false" customHeight="false" outlineLevel="0" collapsed="false">
      <c r="A11" s="11" t="s">
        <v>4</v>
      </c>
      <c r="B11" s="11" t="n">
        <v>2</v>
      </c>
      <c r="C11" s="11" t="n">
        <v>334985</v>
      </c>
      <c r="D11" s="11" t="n">
        <v>335118</v>
      </c>
      <c r="E11" s="13" t="n">
        <f aca="false">C11/Settings!$B$3/86400</f>
        <v>0.129238040123457</v>
      </c>
      <c r="F11" s="14" t="n">
        <f aca="false">(D11-C11+1)/Settings!$B$3</f>
        <v>4.46666666666667</v>
      </c>
      <c r="G11" s="11" t="s">
        <v>109</v>
      </c>
      <c r="H11" s="18" t="n">
        <f aca="false">INDEX(Candidates!$C$2:$C$147,MATCH(G11,Candidates!$B$2:$B$147,0))</f>
        <v>334952</v>
      </c>
      <c r="I11" s="18" t="n">
        <f aca="false">INDEX(Candidates!$D$2:$D$147,MATCH(G11,Candidates!$B$2:$B$147,0))</f>
        <v>335111</v>
      </c>
      <c r="J11" s="19" t="n">
        <f aca="false">(H11-C11)/Settings!$B$3</f>
        <v>-1.1</v>
      </c>
      <c r="K11" s="19" t="n">
        <f aca="false">(I11-D11)/Settings!$B$3</f>
        <v>-0.233333333333333</v>
      </c>
      <c r="L11" s="20" t="n">
        <v>0.948</v>
      </c>
    </row>
    <row r="12" customFormat="false" ht="15" hidden="false" customHeight="false" outlineLevel="0" collapsed="false">
      <c r="A12" s="11" t="s">
        <v>4</v>
      </c>
      <c r="B12" s="11" t="n">
        <v>3</v>
      </c>
      <c r="C12" s="11" t="n">
        <v>335409</v>
      </c>
      <c r="D12" s="11" t="n">
        <v>335502</v>
      </c>
      <c r="E12" s="13" t="n">
        <f aca="false">C12/Settings!$B$3/86400</f>
        <v>0.12940162037037</v>
      </c>
      <c r="F12" s="14" t="n">
        <f aca="false">(D12-C12+1)/Settings!$B$3</f>
        <v>3.13333333333333</v>
      </c>
      <c r="G12" s="11" t="s">
        <v>110</v>
      </c>
      <c r="H12" s="18" t="n">
        <f aca="false">INDEX(Candidates!$C$2:$C$147,MATCH(G12,Candidates!$B$2:$B$147,0))</f>
        <v>335417</v>
      </c>
      <c r="I12" s="18" t="n">
        <f aca="false">INDEX(Candidates!$D$2:$D$147,MATCH(G12,Candidates!$B$2:$B$147,0))</f>
        <v>335498</v>
      </c>
      <c r="J12" s="19" t="n">
        <f aca="false">(H12-C12)/Settings!$B$3</f>
        <v>0.266666666666667</v>
      </c>
      <c r="K12" s="19" t="n">
        <f aca="false">(I12-D12)/Settings!$B$3</f>
        <v>-0.133333333333333</v>
      </c>
      <c r="L12" s="20" t="n">
        <v>0.872</v>
      </c>
    </row>
    <row r="13" customFormat="false" ht="15" hidden="false" customHeight="false" outlineLevel="0" collapsed="false">
      <c r="A13" s="11" t="s">
        <v>4</v>
      </c>
      <c r="B13" s="11" t="n">
        <v>4</v>
      </c>
      <c r="C13" s="11" t="n">
        <v>336153</v>
      </c>
      <c r="D13" s="11" t="n">
        <v>336285</v>
      </c>
      <c r="E13" s="13" t="n">
        <f aca="false">C13/Settings!$B$3/86400</f>
        <v>0.129688657407407</v>
      </c>
      <c r="F13" s="14" t="n">
        <f aca="false">(D13-C13+1)/Settings!$B$3</f>
        <v>4.43333333333333</v>
      </c>
      <c r="G13" s="11" t="s">
        <v>111</v>
      </c>
      <c r="H13" s="18" t="n">
        <f aca="false">INDEX(Candidates!$C$2:$C$147,MATCH(G13,Candidates!$B$2:$B$147,0))</f>
        <v>336150</v>
      </c>
      <c r="I13" s="18" t="n">
        <f aca="false">INDEX(Candidates!$D$2:$D$147,MATCH(G13,Candidates!$B$2:$B$147,0))</f>
        <v>336275</v>
      </c>
      <c r="J13" s="19" t="n">
        <f aca="false">(H13-C13)/Settings!$B$3</f>
        <v>-0.1</v>
      </c>
      <c r="K13" s="19" t="n">
        <f aca="false">(I13-D13)/Settings!$B$3</f>
        <v>-0.333333333333333</v>
      </c>
      <c r="L13" s="20" t="n">
        <v>0.925</v>
      </c>
    </row>
    <row r="14" customFormat="false" ht="15" hidden="false" customHeight="false" outlineLevel="0" collapsed="false">
      <c r="A14" s="11" t="s">
        <v>4</v>
      </c>
      <c r="B14" s="11" t="n">
        <v>5</v>
      </c>
      <c r="C14" s="11" t="n">
        <v>436636</v>
      </c>
      <c r="D14" s="11" t="n">
        <v>436895</v>
      </c>
      <c r="E14" s="13" t="n">
        <f aca="false">C14/Settings!$B$3/86400</f>
        <v>0.16845524691358</v>
      </c>
      <c r="F14" s="14" t="n">
        <f aca="false">(D14-C14+1)/Settings!$B$3</f>
        <v>8.66666666666667</v>
      </c>
      <c r="G14" s="11" t="s">
        <v>151</v>
      </c>
      <c r="H14" s="18" t="n">
        <f aca="false">INDEX(Candidates!$C$2:$C$147,MATCH(G14,Candidates!$B$2:$B$147,0))</f>
        <v>436605</v>
      </c>
      <c r="I14" s="18" t="n">
        <f aca="false">INDEX(Candidates!$D$2:$D$147,MATCH(G14,Candidates!$B$2:$B$147,0))</f>
        <v>436908</v>
      </c>
      <c r="J14" s="19" t="n">
        <f aca="false">(H14-C14)/Settings!$B$3</f>
        <v>-1.03333333333333</v>
      </c>
      <c r="K14" s="19" t="n">
        <f aca="false">(I14-D14)/Settings!$B$3</f>
        <v>0.433333333333333</v>
      </c>
      <c r="L14" s="20" t="n">
        <v>1</v>
      </c>
    </row>
    <row r="15" customFormat="false" ht="15" hidden="false" customHeight="false" outlineLevel="0" collapsed="false">
      <c r="A15" s="11" t="s">
        <v>4</v>
      </c>
      <c r="B15" s="11" t="n">
        <v>6</v>
      </c>
      <c r="C15" s="11" t="n">
        <v>437259</v>
      </c>
      <c r="D15" s="11" t="n">
        <v>437437</v>
      </c>
      <c r="E15" s="13" t="n">
        <f aca="false">C15/Settings!$B$3/86400</f>
        <v>0.168695601851852</v>
      </c>
      <c r="F15" s="14" t="n">
        <f aca="false">(D15-C15+1)/Settings!$B$3</f>
        <v>5.96666666666667</v>
      </c>
      <c r="G15" s="11" t="s">
        <v>152</v>
      </c>
      <c r="H15" s="18" t="n">
        <f aca="false">INDEX(Candidates!$C$2:$C$147,MATCH(G15,Candidates!$B$2:$B$147,0))</f>
        <v>437187</v>
      </c>
      <c r="I15" s="18" t="n">
        <f aca="false">INDEX(Candidates!$D$2:$D$147,MATCH(G15,Candidates!$B$2:$B$147,0))</f>
        <v>437443</v>
      </c>
      <c r="J15" s="19" t="n">
        <f aca="false">(H15-C15)/Settings!$B$3</f>
        <v>-2.4</v>
      </c>
      <c r="K15" s="19" t="n">
        <f aca="false">(I15-D15)/Settings!$B$3</f>
        <v>0.2</v>
      </c>
      <c r="L15" s="20" t="n">
        <v>1</v>
      </c>
    </row>
    <row r="16" customFormat="false" ht="15" hidden="false" customHeight="false" outlineLevel="0" collapsed="false">
      <c r="A16" s="11" t="s">
        <v>4</v>
      </c>
      <c r="B16" s="11" t="n">
        <v>7</v>
      </c>
      <c r="C16" s="11" t="n">
        <v>713035</v>
      </c>
      <c r="D16" s="11" t="n">
        <v>713330</v>
      </c>
      <c r="E16" s="13" t="n">
        <f aca="false">C16/Settings!$B$3/86400</f>
        <v>0.275090663580247</v>
      </c>
      <c r="F16" s="14" t="n">
        <f aca="false">(D16-C16+1)/Settings!$B$3</f>
        <v>9.86666666666667</v>
      </c>
      <c r="G16" s="11" t="s">
        <v>189</v>
      </c>
      <c r="H16" s="18" t="n">
        <f aca="false">INDEX(Candidates!$C$2:$C$147,MATCH(G16,Candidates!$B$2:$B$147,0))</f>
        <v>713003</v>
      </c>
      <c r="I16" s="18" t="n">
        <f aca="false">INDEX(Candidates!$D$2:$D$147,MATCH(G16,Candidates!$B$2:$B$147,0))</f>
        <v>713289</v>
      </c>
      <c r="J16" s="19" t="n">
        <f aca="false">(H16-C16)/Settings!$B$3</f>
        <v>-1.06666666666667</v>
      </c>
      <c r="K16" s="19" t="n">
        <f aca="false">(I16-D16)/Settings!$B$3</f>
        <v>-1.36666666666667</v>
      </c>
      <c r="L16" s="20" t="n">
        <v>0.861</v>
      </c>
    </row>
    <row r="18" customFormat="false" ht="15" hidden="false" customHeight="false" outlineLevel="0" collapsed="false">
      <c r="A18" s="21" t="s">
        <v>201</v>
      </c>
      <c r="D18" s="22" t="n">
        <f aca="false" t="array" ref="D18:D18">MEDIAN(ABS(J2:J16))</f>
        <v>0.4</v>
      </c>
    </row>
    <row r="19" customFormat="false" ht="15" hidden="false" customHeight="false" outlineLevel="0" collapsed="false">
      <c r="A19" s="21" t="s">
        <v>202</v>
      </c>
      <c r="D19" s="22" t="n">
        <f aca="false" t="array" ref="D19:D19">MEDIAN(ABS(K2:K16))</f>
        <v>0.3</v>
      </c>
    </row>
    <row r="20" customFormat="false" ht="15" hidden="false" customHeight="false" outlineLevel="0" collapsed="false">
      <c r="A20" s="21" t="s">
        <v>203</v>
      </c>
      <c r="D20" s="23" t="n">
        <f aca="false">AVERAGE(L2:L16)</f>
        <v>0.934133333333333</v>
      </c>
    </row>
    <row r="22" customFormat="false" ht="15" hidden="false" customHeight="true" outlineLevel="0" collapsed="false">
      <c r="A22" s="10" t="s">
        <v>204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customFormat="false" ht="15" hidden="false" customHeight="false" outlineLevel="0" collapsed="false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customFormat="false" ht="15" hidden="false" customHeight="false" outlineLevel="0" collapsed="false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</sheetData>
  <mergeCells count="1">
    <mergeCell ref="A22:L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0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205</v>
      </c>
    </row>
    <row r="2" customFormat="false" ht="31.5" hidden="false" customHeight="true" outlineLevel="0" collapsed="false">
      <c r="A2" s="3" t="s">
        <v>206</v>
      </c>
      <c r="B2" s="3" t="s">
        <v>207</v>
      </c>
      <c r="C2" s="3" t="s">
        <v>208</v>
      </c>
    </row>
    <row r="3" customFormat="false" ht="15" hidden="false" customHeight="false" outlineLevel="0" collapsed="false">
      <c r="A3" s="4" t="s">
        <v>209</v>
      </c>
      <c r="B3" s="24" t="n">
        <v>30</v>
      </c>
      <c r="C3" s="4" t="s">
        <v>210</v>
      </c>
    </row>
    <row r="4" customFormat="false" ht="15" hidden="false" customHeight="false" outlineLevel="0" collapsed="false">
      <c r="A4" s="4" t="s">
        <v>211</v>
      </c>
      <c r="B4" s="24" t="n">
        <v>160</v>
      </c>
      <c r="C4" s="4" t="s">
        <v>212</v>
      </c>
    </row>
    <row r="5" customFormat="false" ht="15" hidden="false" customHeight="false" outlineLevel="0" collapsed="false">
      <c r="A5" s="4" t="s">
        <v>213</v>
      </c>
      <c r="B5" s="24" t="n">
        <v>4</v>
      </c>
      <c r="C5" s="4" t="s">
        <v>214</v>
      </c>
    </row>
    <row r="6" customFormat="false" ht="15" hidden="false" customHeight="false" outlineLevel="0" collapsed="false">
      <c r="A6" s="4" t="s">
        <v>215</v>
      </c>
      <c r="B6" s="24" t="n">
        <v>0.75</v>
      </c>
      <c r="C6" s="4" t="s">
        <v>216</v>
      </c>
    </row>
    <row r="7" customFormat="false" ht="15" hidden="false" customHeight="false" outlineLevel="0" collapsed="false">
      <c r="A7" s="4" t="s">
        <v>217</v>
      </c>
      <c r="B7" s="24" t="n">
        <v>0.4</v>
      </c>
      <c r="C7" s="4" t="s">
        <v>218</v>
      </c>
    </row>
    <row r="8" customFormat="false" ht="15" hidden="false" customHeight="false" outlineLevel="0" collapsed="false">
      <c r="A8" s="4" t="s">
        <v>219</v>
      </c>
      <c r="B8" s="24" t="n">
        <v>3</v>
      </c>
      <c r="C8" s="4" t="s">
        <v>220</v>
      </c>
    </row>
    <row r="9" customFormat="false" ht="15" hidden="false" customHeight="false" outlineLevel="0" collapsed="false">
      <c r="A9" s="4" t="s">
        <v>221</v>
      </c>
      <c r="B9" s="24" t="n">
        <v>2</v>
      </c>
      <c r="C9" s="4" t="s">
        <v>222</v>
      </c>
    </row>
    <row r="11" customFormat="false" ht="15" hidden="false" customHeight="false" outlineLevel="0" collapsed="false">
      <c r="A11" s="4" t="s">
        <v>223</v>
      </c>
      <c r="B11" s="24" t="n">
        <v>1.5</v>
      </c>
      <c r="C11" s="4" t="s">
        <v>224</v>
      </c>
    </row>
    <row r="12" customFormat="false" ht="15" hidden="false" customHeight="false" outlineLevel="0" collapsed="false">
      <c r="A12" s="4" t="s">
        <v>225</v>
      </c>
      <c r="B12" s="24" t="n">
        <v>5</v>
      </c>
      <c r="C12" s="4" t="s">
        <v>226</v>
      </c>
    </row>
    <row r="13" customFormat="false" ht="15" hidden="false" customHeight="false" outlineLevel="0" collapsed="false">
      <c r="A13" s="4" t="s">
        <v>227</v>
      </c>
      <c r="B13" s="24" t="n">
        <v>1</v>
      </c>
      <c r="C13" s="4" t="s">
        <v>228</v>
      </c>
    </row>
    <row r="16" customFormat="false" ht="15" hidden="false" customHeight="true" outlineLevel="0" collapsed="false">
      <c r="A16" s="10" t="s">
        <v>229</v>
      </c>
      <c r="B16" s="10"/>
      <c r="C16" s="10"/>
    </row>
    <row r="17" customFormat="false" ht="15" hidden="false" customHeight="false" outlineLevel="0" collapsed="false">
      <c r="A17" s="10"/>
      <c r="B17" s="10"/>
      <c r="C17" s="10"/>
    </row>
  </sheetData>
  <mergeCells count="1">
    <mergeCell ref="A16:C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5"/>
    <col collapsed="false" customWidth="true" hidden="false" outlineLevel="0" max="3" min="3" style="0" width="12"/>
    <col collapsed="false" customWidth="true" hidden="false" outlineLevel="0" max="4" min="4" style="0" width="55"/>
  </cols>
  <sheetData>
    <row r="1" customFormat="false" ht="17.35" hidden="false" customHeight="false" outlineLevel="0" collapsed="false">
      <c r="A1" s="1" t="s">
        <v>230</v>
      </c>
    </row>
    <row r="3" customFormat="false" ht="39.55" hidden="false" customHeight="false" outlineLevel="0" collapsed="false">
      <c r="A3" s="25" t="s">
        <v>231</v>
      </c>
      <c r="B3" s="26" t="s">
        <v>232</v>
      </c>
    </row>
    <row r="4" customFormat="false" ht="15" hidden="false" customHeight="false" outlineLevel="0" collapsed="false">
      <c r="A4" s="25" t="s">
        <v>233</v>
      </c>
      <c r="B4" s="26" t="s">
        <v>234</v>
      </c>
    </row>
    <row r="5" customFormat="false" ht="39.55" hidden="false" customHeight="false" outlineLevel="0" collapsed="false">
      <c r="A5" s="25" t="s">
        <v>235</v>
      </c>
      <c r="B5" s="26" t="s">
        <v>236</v>
      </c>
    </row>
    <row r="6" customFormat="false" ht="26.85" hidden="false" customHeight="false" outlineLevel="0" collapsed="false">
      <c r="A6" s="25" t="s">
        <v>237</v>
      </c>
      <c r="B6" s="26" t="s">
        <v>238</v>
      </c>
    </row>
    <row r="7" customFormat="false" ht="26.85" hidden="false" customHeight="false" outlineLevel="0" collapsed="false">
      <c r="A7" s="25" t="s">
        <v>239</v>
      </c>
      <c r="B7" s="26" t="s">
        <v>240</v>
      </c>
    </row>
    <row r="8" customFormat="false" ht="26.85" hidden="false" customHeight="false" outlineLevel="0" collapsed="false">
      <c r="A8" s="25" t="s">
        <v>241</v>
      </c>
      <c r="B8" s="26" t="s">
        <v>242</v>
      </c>
    </row>
    <row r="10" customFormat="false" ht="17.35" hidden="false" customHeight="false" outlineLevel="0" collapsed="false">
      <c r="A10" s="1" t="s">
        <v>243</v>
      </c>
    </row>
    <row r="11" customFormat="false" ht="15" hidden="false" customHeight="false" outlineLevel="0" collapsed="false">
      <c r="A11" s="27" t="s">
        <v>244</v>
      </c>
      <c r="B11" s="4" t="s">
        <v>245</v>
      </c>
    </row>
    <row r="12" customFormat="false" ht="15" hidden="false" customHeight="false" outlineLevel="0" collapsed="false">
      <c r="A12" s="21" t="s">
        <v>32</v>
      </c>
      <c r="B12" s="4" t="s">
        <v>246</v>
      </c>
    </row>
    <row r="13" customFormat="false" ht="15" hidden="false" customHeight="false" outlineLevel="0" collapsed="false">
      <c r="A13" s="21" t="s">
        <v>33</v>
      </c>
      <c r="B13" s="4" t="s">
        <v>247</v>
      </c>
    </row>
    <row r="14" customFormat="false" ht="15" hidden="false" customHeight="false" outlineLevel="0" collapsed="false">
      <c r="A14" s="21" t="s">
        <v>34</v>
      </c>
      <c r="B14" s="4" t="s">
        <v>248</v>
      </c>
    </row>
    <row r="15" customFormat="false" ht="15" hidden="false" customHeight="false" outlineLevel="0" collapsed="false">
      <c r="A15" s="21" t="s">
        <v>249</v>
      </c>
      <c r="B15" s="4" t="s">
        <v>250</v>
      </c>
    </row>
    <row r="16" customFormat="false" ht="15" hidden="false" customHeight="false" outlineLevel="0" collapsed="false">
      <c r="A16" s="21" t="s">
        <v>251</v>
      </c>
      <c r="B16" s="4" t="s">
        <v>252</v>
      </c>
    </row>
    <row r="18" customFormat="false" ht="15" hidden="false" customHeight="false" outlineLevel="0" collapsed="false">
      <c r="A18" s="21" t="s">
        <v>253</v>
      </c>
    </row>
    <row r="19" customFormat="false" ht="15" hidden="false" customHeight="false" outlineLevel="0" collapsed="false">
      <c r="A19" s="28" t="s">
        <v>21</v>
      </c>
      <c r="B19" s="28" t="s">
        <v>32</v>
      </c>
      <c r="C19" s="28" t="s">
        <v>33</v>
      </c>
      <c r="D19" s="28" t="s">
        <v>34</v>
      </c>
    </row>
    <row r="20" customFormat="false" ht="15" hidden="false" customHeight="false" outlineLevel="0" collapsed="false">
      <c r="A20" s="29" t="s">
        <v>83</v>
      </c>
      <c r="B20" s="29" t="s">
        <v>254</v>
      </c>
      <c r="C20" s="29" t="s">
        <v>255</v>
      </c>
      <c r="D20" s="29" t="s">
        <v>256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2026-09-25T18:12:29Z</dcterms:created>
  <dc:creator>openpyxl</dc:creator>
  <dc:description/>
  <dc:language>en-US</dc:language>
  <cp:lastModifiedBy/>
  <dcterms:modified xsi:type="dcterms:W3CDTF">2026-09-25T18:12:29Z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